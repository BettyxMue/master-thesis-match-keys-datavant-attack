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3ecb1e13f02353/Unizeugs/Uni Ma/4_FSS2/Masterarbeit/"/>
    </mc:Choice>
  </mc:AlternateContent>
  <xr:revisionPtr revIDLastSave="3338" documentId="8_{324745AD-0062-4E42-A4BC-173C34805E3E}" xr6:coauthVersionLast="47" xr6:coauthVersionMax="47" xr10:uidLastSave="{C5853A83-CF77-46E0-AA45-E87511944816}"/>
  <bookViews>
    <workbookView xWindow="-28920" yWindow="-120" windowWidth="29040" windowHeight="15840" activeTab="10" xr2:uid="{AB3301BC-916F-49D9-86FC-4CA2FAA690FC}"/>
  </bookViews>
  <sheets>
    <sheet name="Overview" sheetId="1" r:id="rId1"/>
    <sheet name="T1" sheetId="16" r:id="rId2"/>
    <sheet name="T1_T2" sheetId="19" r:id="rId3"/>
    <sheet name="T1_T7" sheetId="18" r:id="rId4"/>
    <sheet name="T2" sheetId="9" r:id="rId5"/>
    <sheet name="T2_T1" sheetId="20" r:id="rId6"/>
    <sheet name="T2_T7" sheetId="21" r:id="rId7"/>
    <sheet name="Baseline" sheetId="12" r:id="rId8"/>
    <sheet name="BF" sheetId="22" r:id="rId9"/>
    <sheet name="Dict" sheetId="23" r:id="rId10"/>
    <sheet name="HE_LE_FirstTry" sheetId="14" r:id="rId11"/>
    <sheet name="T1_Verg_old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6" l="1"/>
  <c r="F34" i="16"/>
  <c r="G33" i="16"/>
  <c r="G32" i="16"/>
  <c r="G31" i="16"/>
  <c r="G30" i="16"/>
  <c r="I29" i="16"/>
  <c r="G29" i="16"/>
  <c r="G28" i="16"/>
  <c r="G34" i="16" s="1"/>
  <c r="I7" i="19"/>
  <c r="I8" i="19"/>
  <c r="E30" i="21"/>
  <c r="E29" i="9"/>
  <c r="C30" i="9"/>
  <c r="I30" i="16" l="1"/>
  <c r="I31" i="16" s="1"/>
  <c r="E29" i="21"/>
  <c r="E28" i="21"/>
  <c r="E27" i="21"/>
  <c r="C33" i="9"/>
  <c r="C32" i="9"/>
  <c r="C31" i="9"/>
  <c r="C28" i="9"/>
  <c r="D34" i="9"/>
  <c r="B34" i="9"/>
  <c r="C29" i="9"/>
  <c r="E30" i="20"/>
  <c r="I21" i="9"/>
  <c r="I20" i="9"/>
  <c r="I17" i="9"/>
  <c r="I18" i="9" s="1"/>
  <c r="I19" i="9" s="1"/>
  <c r="I16" i="18"/>
  <c r="I17" i="18" s="1"/>
  <c r="I18" i="18" s="1"/>
  <c r="I19" i="18" s="1"/>
  <c r="E5" i="12"/>
  <c r="I5" i="21"/>
  <c r="I6" i="21" s="1"/>
  <c r="I7" i="21" s="1"/>
  <c r="I8" i="21" s="1"/>
  <c r="I16" i="21"/>
  <c r="I17" i="21" s="1"/>
  <c r="I18" i="21" s="1"/>
  <c r="I19" i="21" s="1"/>
  <c r="I17" i="16"/>
  <c r="I18" i="16" s="1"/>
  <c r="I5" i="19"/>
  <c r="I6" i="19" s="1"/>
  <c r="I5" i="16"/>
  <c r="I6" i="16" s="1"/>
  <c r="I7" i="16" s="1"/>
  <c r="I8" i="16" s="1"/>
  <c r="I9" i="16" s="1"/>
  <c r="E27" i="20"/>
  <c r="E28" i="20" s="1"/>
  <c r="E29" i="20" s="1"/>
  <c r="I7" i="18"/>
  <c r="I8" i="18" s="1"/>
  <c r="I5" i="18"/>
  <c r="I6" i="18" s="1"/>
  <c r="I27" i="18"/>
  <c r="I28" i="18"/>
  <c r="I29" i="18" s="1"/>
  <c r="I30" i="18" s="1"/>
  <c r="I17" i="19"/>
  <c r="I18" i="19" s="1"/>
  <c r="I19" i="19" s="1"/>
  <c r="I16" i="19"/>
  <c r="I27" i="19"/>
  <c r="I28" i="19" s="1"/>
  <c r="I29" i="19" s="1"/>
  <c r="I30" i="19" s="1"/>
  <c r="E29" i="16"/>
  <c r="E30" i="16" s="1"/>
  <c r="E31" i="16" s="1"/>
  <c r="E32" i="16" s="1"/>
  <c r="E33" i="16" s="1"/>
  <c r="J33" i="9"/>
  <c r="J9" i="9"/>
  <c r="F9" i="21"/>
  <c r="F20" i="21"/>
  <c r="F31" i="21"/>
  <c r="I29" i="9"/>
  <c r="I30" i="9" s="1"/>
  <c r="I31" i="9" s="1"/>
  <c r="I32" i="9" s="1"/>
  <c r="I33" i="9" s="1"/>
  <c r="K33" i="9" s="1"/>
  <c r="I34" i="16" l="1"/>
  <c r="I19" i="16"/>
  <c r="I20" i="16" s="1"/>
  <c r="I21" i="16" s="1"/>
  <c r="K21" i="16" s="1"/>
  <c r="C34" i="9"/>
  <c r="K8" i="19"/>
  <c r="J8" i="19"/>
  <c r="K8" i="18"/>
  <c r="J8" i="18"/>
  <c r="K19" i="19"/>
  <c r="J19" i="19"/>
  <c r="K19" i="18"/>
  <c r="J19" i="18"/>
  <c r="K30" i="19"/>
  <c r="J30" i="19"/>
  <c r="K30" i="18"/>
  <c r="J30" i="18"/>
  <c r="J30" i="21"/>
  <c r="K19" i="21"/>
  <c r="J19" i="21"/>
  <c r="K8" i="21"/>
  <c r="J8" i="21"/>
  <c r="J8" i="20"/>
  <c r="J30" i="20"/>
  <c r="H9" i="20"/>
  <c r="J19" i="20"/>
  <c r="K21" i="9"/>
  <c r="J21" i="9"/>
  <c r="O9" i="23"/>
  <c r="O10" i="23" s="1"/>
  <c r="N9" i="23"/>
  <c r="N10" i="23" s="1"/>
  <c r="N6" i="12"/>
  <c r="J21" i="16"/>
  <c r="J33" i="16"/>
  <c r="K9" i="16"/>
  <c r="J9" i="16"/>
  <c r="I27" i="21"/>
  <c r="I28" i="21" s="1"/>
  <c r="I29" i="21" s="1"/>
  <c r="I30" i="21" s="1"/>
  <c r="K30" i="21" s="1"/>
  <c r="M5" i="23"/>
  <c r="M6" i="23" s="1"/>
  <c r="I5" i="23"/>
  <c r="I6" i="23" s="1"/>
  <c r="I7" i="23" s="1"/>
  <c r="I8" i="23" s="1"/>
  <c r="I9" i="23" s="1"/>
  <c r="E5" i="23"/>
  <c r="E6" i="23" s="1"/>
  <c r="E7" i="23" s="1"/>
  <c r="E8" i="23" s="1"/>
  <c r="E9" i="23" s="1"/>
  <c r="G5" i="12"/>
  <c r="G6" i="12"/>
  <c r="G4" i="12"/>
  <c r="I5" i="12"/>
  <c r="I6" i="12" s="1"/>
  <c r="M5" i="12"/>
  <c r="M6" i="12" s="1"/>
  <c r="O6" i="12" s="1"/>
  <c r="L7" i="12"/>
  <c r="N7" i="12" s="1"/>
  <c r="E16" i="21"/>
  <c r="E17" i="21" s="1"/>
  <c r="E18" i="21" s="1"/>
  <c r="E19" i="21" s="1"/>
  <c r="L10" i="23"/>
  <c r="J10" i="23"/>
  <c r="H10" i="23"/>
  <c r="F10" i="23"/>
  <c r="D10" i="23"/>
  <c r="B10" i="23"/>
  <c r="K9" i="23"/>
  <c r="G9" i="23"/>
  <c r="C9" i="23"/>
  <c r="K8" i="23"/>
  <c r="G8" i="23"/>
  <c r="C8" i="23"/>
  <c r="K7" i="23"/>
  <c r="G7" i="23"/>
  <c r="C7" i="23"/>
  <c r="K6" i="23"/>
  <c r="G6" i="23"/>
  <c r="C6" i="23"/>
  <c r="K5" i="23"/>
  <c r="G5" i="23"/>
  <c r="C5" i="23"/>
  <c r="K4" i="23"/>
  <c r="G4" i="23"/>
  <c r="C4" i="23"/>
  <c r="E5" i="21"/>
  <c r="E6" i="21" s="1"/>
  <c r="E7" i="21" s="1"/>
  <c r="E8" i="21" s="1"/>
  <c r="E17" i="9"/>
  <c r="E18" i="9" s="1"/>
  <c r="E19" i="9" s="1"/>
  <c r="E20" i="9" s="1"/>
  <c r="E21" i="9" s="1"/>
  <c r="E5" i="9"/>
  <c r="E6" i="9" s="1"/>
  <c r="E7" i="9" s="1"/>
  <c r="E8" i="9" s="1"/>
  <c r="E9" i="9" s="1"/>
  <c r="I5" i="9"/>
  <c r="I6" i="9" s="1"/>
  <c r="I7" i="9" s="1"/>
  <c r="I8" i="9" s="1"/>
  <c r="I9" i="9" s="1"/>
  <c r="K9" i="9" s="1"/>
  <c r="I5" i="20"/>
  <c r="I6" i="20" s="1"/>
  <c r="I7" i="20" s="1"/>
  <c r="I8" i="20" s="1"/>
  <c r="K8" i="20" s="1"/>
  <c r="I16" i="20"/>
  <c r="I17" i="20" s="1"/>
  <c r="I18" i="20" s="1"/>
  <c r="I19" i="20" s="1"/>
  <c r="K19" i="20" s="1"/>
  <c r="I27" i="20"/>
  <c r="I28" i="20" s="1"/>
  <c r="I29" i="20" s="1"/>
  <c r="I30" i="20" s="1"/>
  <c r="K30" i="20" s="1"/>
  <c r="E5" i="22"/>
  <c r="E6" i="22" s="1"/>
  <c r="E7" i="22" s="1"/>
  <c r="E8" i="22" s="1"/>
  <c r="E9" i="22" s="1"/>
  <c r="E16" i="20"/>
  <c r="E17" i="20" s="1"/>
  <c r="E18" i="20" s="1"/>
  <c r="E19" i="20" s="1"/>
  <c r="E5" i="20"/>
  <c r="E6" i="20" s="1"/>
  <c r="E34" i="9" l="1"/>
  <c r="J9" i="20"/>
  <c r="M7" i="23"/>
  <c r="M8" i="23" s="1"/>
  <c r="M9" i="23" s="1"/>
  <c r="E7" i="20"/>
  <c r="E8" i="20" s="1"/>
  <c r="E34" i="16"/>
  <c r="C10" i="23"/>
  <c r="G10" i="23"/>
  <c r="K10" i="23"/>
  <c r="E10" i="23"/>
  <c r="I10" i="23"/>
  <c r="E5" i="19"/>
  <c r="E6" i="19" s="1"/>
  <c r="E7" i="19" s="1"/>
  <c r="E8" i="19" s="1"/>
  <c r="E27" i="19"/>
  <c r="E28" i="19" s="1"/>
  <c r="E29" i="19" s="1"/>
  <c r="E30" i="19" s="1"/>
  <c r="E16" i="19"/>
  <c r="E17" i="19" s="1"/>
  <c r="E10" i="22"/>
  <c r="D10" i="22"/>
  <c r="B10" i="22"/>
  <c r="C9" i="22"/>
  <c r="C8" i="22"/>
  <c r="C7" i="22"/>
  <c r="C6" i="22"/>
  <c r="C5" i="22"/>
  <c r="C4" i="22"/>
  <c r="K6" i="12"/>
  <c r="K5" i="12"/>
  <c r="K4" i="12"/>
  <c r="G8" i="21"/>
  <c r="G7" i="21"/>
  <c r="G6" i="21"/>
  <c r="G5" i="21"/>
  <c r="G4" i="21"/>
  <c r="G19" i="21"/>
  <c r="G18" i="21"/>
  <c r="G17" i="21"/>
  <c r="G16" i="21"/>
  <c r="G15" i="21"/>
  <c r="G27" i="21"/>
  <c r="G28" i="21"/>
  <c r="G29" i="21"/>
  <c r="G30" i="21"/>
  <c r="G26" i="21"/>
  <c r="G8" i="20"/>
  <c r="G7" i="20"/>
  <c r="G6" i="20"/>
  <c r="G5" i="20"/>
  <c r="G4" i="20"/>
  <c r="G19" i="20"/>
  <c r="G18" i="20"/>
  <c r="G17" i="20"/>
  <c r="G16" i="20"/>
  <c r="G15" i="20"/>
  <c r="G27" i="20"/>
  <c r="G28" i="20"/>
  <c r="G29" i="20"/>
  <c r="G30" i="20"/>
  <c r="G26" i="20"/>
  <c r="G33" i="9"/>
  <c r="G32" i="9"/>
  <c r="G31" i="9"/>
  <c r="G30" i="9"/>
  <c r="G29" i="9"/>
  <c r="G28" i="9"/>
  <c r="G21" i="9"/>
  <c r="G20" i="9"/>
  <c r="G19" i="9"/>
  <c r="G18" i="9"/>
  <c r="G17" i="9"/>
  <c r="G16" i="9"/>
  <c r="G9" i="9"/>
  <c r="G8" i="9"/>
  <c r="G7" i="9"/>
  <c r="G6" i="9"/>
  <c r="G5" i="9"/>
  <c r="G4" i="9"/>
  <c r="G8" i="18"/>
  <c r="G7" i="18"/>
  <c r="G6" i="18"/>
  <c r="G5" i="18"/>
  <c r="G4" i="18"/>
  <c r="G19" i="18"/>
  <c r="G18" i="18"/>
  <c r="G17" i="18"/>
  <c r="G16" i="18"/>
  <c r="G15" i="18"/>
  <c r="G30" i="18"/>
  <c r="G29" i="18"/>
  <c r="G28" i="18"/>
  <c r="G27" i="18"/>
  <c r="G26" i="18"/>
  <c r="G30" i="19"/>
  <c r="G29" i="19"/>
  <c r="G28" i="19"/>
  <c r="G27" i="19"/>
  <c r="G26" i="19"/>
  <c r="G19" i="19"/>
  <c r="G18" i="19"/>
  <c r="G17" i="19"/>
  <c r="G16" i="19"/>
  <c r="G15" i="19"/>
  <c r="G5" i="19"/>
  <c r="G6" i="19"/>
  <c r="G7" i="19"/>
  <c r="G8" i="19"/>
  <c r="G4" i="19"/>
  <c r="C6" i="12"/>
  <c r="C5" i="12"/>
  <c r="C4" i="12"/>
  <c r="I31" i="21"/>
  <c r="K31" i="21" s="1"/>
  <c r="H31" i="21"/>
  <c r="J31" i="21" s="1"/>
  <c r="E31" i="21"/>
  <c r="D31" i="21"/>
  <c r="B31" i="21"/>
  <c r="C30" i="21"/>
  <c r="C29" i="21"/>
  <c r="C28" i="21"/>
  <c r="C27" i="21"/>
  <c r="C26" i="21"/>
  <c r="I20" i="21"/>
  <c r="K20" i="21" s="1"/>
  <c r="H20" i="21"/>
  <c r="J20" i="21" s="1"/>
  <c r="E20" i="21"/>
  <c r="D20" i="21"/>
  <c r="B20" i="21"/>
  <c r="C19" i="21"/>
  <c r="C18" i="21"/>
  <c r="C17" i="21"/>
  <c r="C16" i="21"/>
  <c r="C15" i="21"/>
  <c r="I9" i="21"/>
  <c r="K9" i="21" s="1"/>
  <c r="H9" i="21"/>
  <c r="J9" i="21" s="1"/>
  <c r="E9" i="21"/>
  <c r="D9" i="21"/>
  <c r="B9" i="21"/>
  <c r="C8" i="21"/>
  <c r="C7" i="21"/>
  <c r="C6" i="21"/>
  <c r="C5" i="21"/>
  <c r="C4" i="21"/>
  <c r="C8" i="20"/>
  <c r="C7" i="20"/>
  <c r="C6" i="20"/>
  <c r="C5" i="20"/>
  <c r="C4" i="20"/>
  <c r="C19" i="20"/>
  <c r="C18" i="20"/>
  <c r="C17" i="20"/>
  <c r="C16" i="20"/>
  <c r="C15" i="20"/>
  <c r="C27" i="20"/>
  <c r="C28" i="20"/>
  <c r="C29" i="20"/>
  <c r="C30" i="20"/>
  <c r="C26" i="20"/>
  <c r="C9" i="9"/>
  <c r="C8" i="9"/>
  <c r="C7" i="9"/>
  <c r="C6" i="9"/>
  <c r="C5" i="9"/>
  <c r="C4" i="9"/>
  <c r="C17" i="9"/>
  <c r="C18" i="9"/>
  <c r="C19" i="9"/>
  <c r="C20" i="9"/>
  <c r="C21" i="9"/>
  <c r="C16" i="9"/>
  <c r="C26" i="18"/>
  <c r="I31" i="20"/>
  <c r="K31" i="20" s="1"/>
  <c r="H31" i="20"/>
  <c r="J31" i="20" s="1"/>
  <c r="F31" i="20"/>
  <c r="E31" i="20"/>
  <c r="D31" i="20"/>
  <c r="B31" i="20"/>
  <c r="I20" i="20"/>
  <c r="K20" i="20" s="1"/>
  <c r="H20" i="20"/>
  <c r="J20" i="20" s="1"/>
  <c r="F20" i="20"/>
  <c r="E20" i="20"/>
  <c r="D20" i="20"/>
  <c r="B20" i="20"/>
  <c r="I9" i="20"/>
  <c r="K9" i="20" s="1"/>
  <c r="F9" i="20"/>
  <c r="D9" i="20"/>
  <c r="B9" i="20"/>
  <c r="E27" i="18"/>
  <c r="E28" i="18" s="1"/>
  <c r="E29" i="18" s="1"/>
  <c r="E16" i="18"/>
  <c r="C4" i="19"/>
  <c r="C5" i="19"/>
  <c r="C6" i="19"/>
  <c r="C7" i="19"/>
  <c r="C8" i="19"/>
  <c r="I31" i="19"/>
  <c r="K31" i="19" s="1"/>
  <c r="H31" i="19"/>
  <c r="J31" i="19" s="1"/>
  <c r="F31" i="19"/>
  <c r="D31" i="19"/>
  <c r="B31" i="19"/>
  <c r="C30" i="19"/>
  <c r="C29" i="19"/>
  <c r="C28" i="19"/>
  <c r="C27" i="19"/>
  <c r="C26" i="19"/>
  <c r="I20" i="19"/>
  <c r="K20" i="19" s="1"/>
  <c r="H20" i="19"/>
  <c r="J20" i="19" s="1"/>
  <c r="F20" i="19"/>
  <c r="D20" i="19"/>
  <c r="B20" i="19"/>
  <c r="C19" i="19"/>
  <c r="C18" i="19"/>
  <c r="C17" i="19"/>
  <c r="C16" i="19"/>
  <c r="C15" i="19"/>
  <c r="I9" i="19"/>
  <c r="K9" i="19" s="1"/>
  <c r="H9" i="19"/>
  <c r="J9" i="19" s="1"/>
  <c r="F9" i="19"/>
  <c r="D9" i="19"/>
  <c r="B9" i="19"/>
  <c r="C4" i="18"/>
  <c r="C30" i="18"/>
  <c r="C27" i="18"/>
  <c r="C28" i="18"/>
  <c r="C29" i="18"/>
  <c r="C16" i="18"/>
  <c r="C17" i="18"/>
  <c r="C18" i="18"/>
  <c r="C19" i="18"/>
  <c r="C15" i="18"/>
  <c r="C5" i="18"/>
  <c r="C6" i="18"/>
  <c r="C7" i="18"/>
  <c r="C8" i="18"/>
  <c r="E5" i="18"/>
  <c r="E6" i="18" s="1"/>
  <c r="G5" i="16"/>
  <c r="G6" i="16"/>
  <c r="G7" i="16"/>
  <c r="G8" i="16"/>
  <c r="G9" i="16"/>
  <c r="G4" i="16"/>
  <c r="C29" i="16"/>
  <c r="C30" i="16"/>
  <c r="C31" i="16"/>
  <c r="C32" i="16"/>
  <c r="C33" i="16"/>
  <c r="C28" i="16"/>
  <c r="G17" i="16"/>
  <c r="G18" i="16"/>
  <c r="G19" i="16"/>
  <c r="G20" i="16"/>
  <c r="G21" i="16"/>
  <c r="G16" i="16"/>
  <c r="I31" i="18"/>
  <c r="K31" i="18" s="1"/>
  <c r="H31" i="18"/>
  <c r="J31" i="18" s="1"/>
  <c r="F31" i="18"/>
  <c r="D31" i="18"/>
  <c r="B31" i="18"/>
  <c r="I20" i="18"/>
  <c r="K20" i="18" s="1"/>
  <c r="H20" i="18"/>
  <c r="J20" i="18" s="1"/>
  <c r="F20" i="18"/>
  <c r="D20" i="18"/>
  <c r="B20" i="18"/>
  <c r="I9" i="18"/>
  <c r="K9" i="18" s="1"/>
  <c r="H9" i="18"/>
  <c r="J9" i="18" s="1"/>
  <c r="F9" i="18"/>
  <c r="D9" i="18"/>
  <c r="B9" i="18"/>
  <c r="E17" i="16"/>
  <c r="E18" i="16" s="1"/>
  <c r="E19" i="16" s="1"/>
  <c r="E20" i="16" s="1"/>
  <c r="E21" i="16" s="1"/>
  <c r="M56" i="15"/>
  <c r="M57" i="15"/>
  <c r="M58" i="15"/>
  <c r="M59" i="15"/>
  <c r="M55" i="15"/>
  <c r="M50" i="15"/>
  <c r="M49" i="15"/>
  <c r="M48" i="15"/>
  <c r="M47" i="15"/>
  <c r="M46" i="15"/>
  <c r="M45" i="15"/>
  <c r="M37" i="15"/>
  <c r="M38" i="15"/>
  <c r="M39" i="15"/>
  <c r="M40" i="15"/>
  <c r="M36" i="15"/>
  <c r="C37" i="15"/>
  <c r="C38" i="15"/>
  <c r="C39" i="15"/>
  <c r="C40" i="15"/>
  <c r="C36" i="15"/>
  <c r="C46" i="15"/>
  <c r="C47" i="15"/>
  <c r="C48" i="15"/>
  <c r="C49" i="15"/>
  <c r="C50" i="15"/>
  <c r="C45" i="15"/>
  <c r="C17" i="16"/>
  <c r="C18" i="16"/>
  <c r="C19" i="16"/>
  <c r="C20" i="16"/>
  <c r="C21" i="16"/>
  <c r="C16" i="16"/>
  <c r="E5" i="16"/>
  <c r="E6" i="16" s="1"/>
  <c r="E7" i="16" s="1"/>
  <c r="E8" i="16" s="1"/>
  <c r="E9" i="16" s="1"/>
  <c r="C5" i="16"/>
  <c r="C6" i="16"/>
  <c r="C7" i="16"/>
  <c r="C8" i="16"/>
  <c r="C9" i="16"/>
  <c r="C4" i="16"/>
  <c r="J34" i="16"/>
  <c r="D34" i="16"/>
  <c r="B34" i="16"/>
  <c r="I22" i="16"/>
  <c r="K22" i="16" s="1"/>
  <c r="H22" i="16"/>
  <c r="J22" i="16" s="1"/>
  <c r="F22" i="16"/>
  <c r="D22" i="16"/>
  <c r="B22" i="16"/>
  <c r="H10" i="16"/>
  <c r="J10" i="16" s="1"/>
  <c r="F10" i="16"/>
  <c r="D10" i="16"/>
  <c r="B10" i="16"/>
  <c r="C31" i="20" l="1"/>
  <c r="C9" i="18"/>
  <c r="C20" i="18"/>
  <c r="M10" i="23"/>
  <c r="C31" i="21"/>
  <c r="G9" i="18"/>
  <c r="G31" i="21"/>
  <c r="E9" i="20"/>
  <c r="C20" i="20"/>
  <c r="E31" i="19"/>
  <c r="G20" i="21"/>
  <c r="G9" i="21"/>
  <c r="C20" i="21"/>
  <c r="C9" i="20"/>
  <c r="G20" i="20"/>
  <c r="G20" i="19"/>
  <c r="G31" i="18"/>
  <c r="G20" i="18"/>
  <c r="G22" i="16"/>
  <c r="E18" i="19"/>
  <c r="E19" i="19" s="1"/>
  <c r="E20" i="19" s="1"/>
  <c r="C31" i="19"/>
  <c r="G31" i="19"/>
  <c r="C20" i="19"/>
  <c r="C9" i="19"/>
  <c r="C10" i="16"/>
  <c r="G10" i="16"/>
  <c r="K33" i="16"/>
  <c r="E7" i="18"/>
  <c r="E8" i="18" s="1"/>
  <c r="E30" i="18"/>
  <c r="E31" i="18" s="1"/>
  <c r="E17" i="18"/>
  <c r="E18" i="18" s="1"/>
  <c r="E19" i="18" s="1"/>
  <c r="C9" i="21"/>
  <c r="G9" i="20"/>
  <c r="C10" i="22"/>
  <c r="G31" i="20"/>
  <c r="G9" i="19"/>
  <c r="E9" i="19"/>
  <c r="C31" i="18"/>
  <c r="C34" i="16"/>
  <c r="E22" i="16"/>
  <c r="C22" i="16"/>
  <c r="I10" i="16"/>
  <c r="K10" i="16" s="1"/>
  <c r="E10" i="16"/>
  <c r="K34" i="16" l="1"/>
  <c r="E9" i="18"/>
  <c r="E20" i="18"/>
  <c r="M17" i="15"/>
  <c r="M13" i="15"/>
  <c r="M14" i="15"/>
  <c r="M15" i="15"/>
  <c r="M16" i="15"/>
  <c r="M4" i="15"/>
  <c r="M5" i="15"/>
  <c r="M6" i="15"/>
  <c r="M7" i="15"/>
  <c r="M3" i="15"/>
  <c r="M12" i="15"/>
  <c r="M23" i="15"/>
  <c r="M24" i="15"/>
  <c r="M25" i="15"/>
  <c r="M26" i="15"/>
  <c r="M22" i="15"/>
  <c r="C56" i="15" l="1"/>
  <c r="C57" i="15"/>
  <c r="C58" i="15"/>
  <c r="C59" i="15"/>
  <c r="C55" i="15"/>
  <c r="C60" i="15" s="1"/>
  <c r="O27" i="15"/>
  <c r="N27" i="15"/>
  <c r="M27" i="15"/>
  <c r="L27" i="15"/>
  <c r="O18" i="15"/>
  <c r="N18" i="15"/>
  <c r="M18" i="15"/>
  <c r="L18" i="15"/>
  <c r="O8" i="15"/>
  <c r="N8" i="15"/>
  <c r="M8" i="15"/>
  <c r="L8" i="15"/>
  <c r="E60" i="15"/>
  <c r="D60" i="15"/>
  <c r="B60" i="15"/>
  <c r="E51" i="15"/>
  <c r="D51" i="15"/>
  <c r="C51" i="15"/>
  <c r="B51" i="15"/>
  <c r="E41" i="15"/>
  <c r="D41" i="15"/>
  <c r="C41" i="15"/>
  <c r="B41" i="15"/>
  <c r="C13" i="15"/>
  <c r="C14" i="15"/>
  <c r="C15" i="15"/>
  <c r="C16" i="15"/>
  <c r="C17" i="15"/>
  <c r="C12" i="15"/>
  <c r="O60" i="15"/>
  <c r="N60" i="15"/>
  <c r="M60" i="15"/>
  <c r="L60" i="15"/>
  <c r="O51" i="15"/>
  <c r="N51" i="15"/>
  <c r="M51" i="15"/>
  <c r="L51" i="15"/>
  <c r="O41" i="15"/>
  <c r="N41" i="15"/>
  <c r="M41" i="15"/>
  <c r="L41" i="15"/>
  <c r="C23" i="15"/>
  <c r="C24" i="15"/>
  <c r="C25" i="15"/>
  <c r="C26" i="15"/>
  <c r="C22" i="15"/>
  <c r="E27" i="15"/>
  <c r="D27" i="15"/>
  <c r="B27" i="15"/>
  <c r="E18" i="15"/>
  <c r="D18" i="15"/>
  <c r="B18" i="15"/>
  <c r="E8" i="15"/>
  <c r="D8" i="15"/>
  <c r="C8" i="15"/>
  <c r="B8" i="15"/>
  <c r="F30" i="14"/>
  <c r="F31" i="14"/>
  <c r="F29" i="14"/>
  <c r="G33" i="14"/>
  <c r="C28" i="14"/>
  <c r="C30" i="14"/>
  <c r="C31" i="14"/>
  <c r="C27" i="14"/>
  <c r="D33" i="14"/>
  <c r="C16" i="14"/>
  <c r="C17" i="14"/>
  <c r="C18" i="14"/>
  <c r="C15" i="14"/>
  <c r="D19" i="14"/>
  <c r="F5" i="14"/>
  <c r="F6" i="14"/>
  <c r="F7" i="14"/>
  <c r="F8" i="14"/>
  <c r="F4" i="14"/>
  <c r="C4" i="14"/>
  <c r="C5" i="14"/>
  <c r="C6" i="14"/>
  <c r="C7" i="14"/>
  <c r="C8" i="14"/>
  <c r="G9" i="14"/>
  <c r="E9" i="14"/>
  <c r="D9" i="14"/>
  <c r="B9" i="14"/>
  <c r="M7" i="12"/>
  <c r="O7" i="12" s="1"/>
  <c r="K7" i="12"/>
  <c r="J7" i="12"/>
  <c r="I7" i="12"/>
  <c r="H7" i="12"/>
  <c r="G7" i="12"/>
  <c r="F7" i="12"/>
  <c r="E7" i="12"/>
  <c r="D7" i="12"/>
  <c r="C7" i="12"/>
  <c r="B7" i="12"/>
  <c r="F34" i="9"/>
  <c r="G34" i="9"/>
  <c r="H34" i="9"/>
  <c r="J34" i="9" s="1"/>
  <c r="I34" i="9"/>
  <c r="K34" i="9" s="1"/>
  <c r="C10" i="9"/>
  <c r="D10" i="9"/>
  <c r="E10" i="9"/>
  <c r="F10" i="9"/>
  <c r="G10" i="9"/>
  <c r="H10" i="9"/>
  <c r="J10" i="9" s="1"/>
  <c r="I10" i="9"/>
  <c r="K10" i="9" s="1"/>
  <c r="B10" i="9"/>
  <c r="B22" i="9"/>
  <c r="C22" i="9"/>
  <c r="D22" i="9"/>
  <c r="E22" i="9"/>
  <c r="F22" i="9"/>
  <c r="G22" i="9"/>
  <c r="H22" i="9"/>
  <c r="J22" i="9" s="1"/>
  <c r="I22" i="9"/>
  <c r="K22" i="9" s="1"/>
  <c r="C27" i="15" l="1"/>
  <c r="C18" i="15"/>
  <c r="F9" i="14"/>
  <c r="C9" i="14"/>
</calcChain>
</file>

<file path=xl/sharedStrings.xml><?xml version="1.0" encoding="utf-8"?>
<sst xmlns="http://schemas.openxmlformats.org/spreadsheetml/2006/main" count="730" uniqueCount="55">
  <si>
    <t>Dataset</t>
  </si>
  <si>
    <t>First Name</t>
  </si>
  <si>
    <t>Last Name</t>
  </si>
  <si>
    <t>DOB</t>
  </si>
  <si>
    <t>YOB</t>
  </si>
  <si>
    <t>Sex</t>
  </si>
  <si>
    <t>Address</t>
  </si>
  <si>
    <t>ZIP</t>
  </si>
  <si>
    <t>DA10</t>
  </si>
  <si>
    <t>DA50</t>
  </si>
  <si>
    <t>DB10</t>
  </si>
  <si>
    <t>DB50</t>
  </si>
  <si>
    <t>CIS</t>
  </si>
  <si>
    <t>Census</t>
  </si>
  <si>
    <t>NVR</t>
  </si>
  <si>
    <t>OVR</t>
  </si>
  <si>
    <t>DO</t>
  </si>
  <si>
    <t>Token Path</t>
  </si>
  <si>
    <t>DO (DA10)</t>
  </si>
  <si>
    <t>DO (DA50)</t>
  </si>
  <si>
    <t>CIS (CENS)</t>
  </si>
  <si>
    <t>NVR (OVR)</t>
  </si>
  <si>
    <t>German</t>
  </si>
  <si>
    <t>US</t>
  </si>
  <si>
    <t>T1</t>
  </si>
  <si>
    <t>T2</t>
  </si>
  <si>
    <t>T7</t>
  </si>
  <si>
    <t>T4</t>
  </si>
  <si>
    <t>T3</t>
  </si>
  <si>
    <t>T9</t>
  </si>
  <si>
    <t>SUM</t>
  </si>
  <si>
    <t>ESSnet</t>
  </si>
  <si>
    <t>RT</t>
  </si>
  <si>
    <t>H</t>
  </si>
  <si>
    <t>RR (%)</t>
  </si>
  <si>
    <t>ET (sec)</t>
  </si>
  <si>
    <t>DO (DA1)</t>
  </si>
  <si>
    <t>DO (DB1)</t>
  </si>
  <si>
    <t>LE</t>
  </si>
  <si>
    <t>HE</t>
  </si>
  <si>
    <t>DO (DA1) (Low)</t>
  </si>
  <si>
    <t>DO (DA1) (High)</t>
  </si>
  <si>
    <t>/</t>
  </si>
  <si>
    <t>DA1</t>
  </si>
  <si>
    <t>DB1</t>
  </si>
  <si>
    <t>only 1.969 FN</t>
  </si>
  <si>
    <t>Token</t>
  </si>
  <si>
    <t>names only</t>
  </si>
  <si>
    <t>max length = 8</t>
  </si>
  <si>
    <t>Path</t>
  </si>
  <si>
    <t>Times X</t>
  </si>
  <si>
    <t>Times X (500)</t>
  </si>
  <si>
    <t>Times X (1000)</t>
  </si>
  <si>
    <t>Times X (2000)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</si>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</sst>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0" fontId="0" fillId="0" borderId="0" xfId="1" applyNumberFormat="1" applyFont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2" borderId="1" xfId="0" applyNumberForma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2" borderId="0" xfId="0" applyFill="1"/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/>
    <xf numFmtId="4" fontId="0" fillId="3" borderId="0" xfId="0" applyNumberFormat="1" applyFill="1"/>
    <xf numFmtId="3" fontId="0" fillId="3" borderId="0" xfId="0" applyNumberFormat="1" applyFill="1"/>
    <xf numFmtId="0" fontId="0" fillId="3" borderId="2" xfId="0" applyFill="1" applyBorder="1" applyAlignment="1">
      <alignment horizontal="center"/>
    </xf>
    <xf numFmtId="4" fontId="0" fillId="3" borderId="2" xfId="0" applyNumberFormat="1" applyFill="1" applyBorder="1"/>
    <xf numFmtId="3" fontId="0" fillId="3" borderId="2" xfId="0" applyNumberFormat="1" applyFill="1" applyBorder="1"/>
    <xf numFmtId="0" fontId="0" fillId="0" borderId="0" xfId="0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/>
    <xf numFmtId="3" fontId="0" fillId="0" borderId="0" xfId="0" applyNumberFormat="1" applyFill="1"/>
    <xf numFmtId="0" fontId="1" fillId="0" borderId="0" xfId="0" applyFont="1" applyBorder="1" applyAlignment="1">
      <alignment horizontal="center" vertical="center"/>
    </xf>
    <xf numFmtId="4" fontId="0" fillId="0" borderId="0" xfId="0" applyNumberFormat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8C40-7726-4347-9F77-1F078D1EE2A7}">
  <dimension ref="A1:L9"/>
  <sheetViews>
    <sheetView workbookViewId="0">
      <selection activeCell="D24" sqref="D24"/>
    </sheetView>
  </sheetViews>
  <sheetFormatPr baseColWidth="10" defaultRowHeight="15" x14ac:dyDescent="0.25"/>
  <sheetData>
    <row r="1" spans="1:12" x14ac:dyDescent="0.25">
      <c r="A1" s="46" t="s">
        <v>0</v>
      </c>
      <c r="B1" s="47" t="s">
        <v>22</v>
      </c>
      <c r="C1" s="47"/>
      <c r="D1" s="47"/>
      <c r="E1" s="47"/>
      <c r="F1" s="47"/>
      <c r="G1" s="47"/>
      <c r="H1" s="47"/>
      <c r="I1" s="47" t="s">
        <v>31</v>
      </c>
      <c r="J1" s="47"/>
      <c r="K1" s="47" t="s">
        <v>23</v>
      </c>
      <c r="L1" s="47"/>
    </row>
    <row r="2" spans="1:12" x14ac:dyDescent="0.25">
      <c r="A2" s="47"/>
      <c r="B2" s="8" t="s">
        <v>16</v>
      </c>
      <c r="C2" s="8" t="s">
        <v>43</v>
      </c>
      <c r="D2" s="8" t="s">
        <v>8</v>
      </c>
      <c r="E2" s="8" t="s">
        <v>9</v>
      </c>
      <c r="F2" s="8" t="s">
        <v>44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</row>
    <row r="3" spans="1:12" x14ac:dyDescent="0.25">
      <c r="A3" t="s">
        <v>1</v>
      </c>
      <c r="B3" s="2">
        <v>1972</v>
      </c>
      <c r="C3" s="2">
        <v>772</v>
      </c>
      <c r="D3" s="2">
        <v>1954</v>
      </c>
      <c r="E3" s="2">
        <v>1969</v>
      </c>
      <c r="F3" s="2">
        <v>773</v>
      </c>
      <c r="G3" s="2">
        <v>1960</v>
      </c>
      <c r="H3" s="2">
        <v>1969</v>
      </c>
      <c r="I3" s="2">
        <v>2083</v>
      </c>
      <c r="J3" s="2">
        <v>2158</v>
      </c>
      <c r="K3" s="2">
        <v>321235</v>
      </c>
      <c r="L3" s="2">
        <v>246786</v>
      </c>
    </row>
    <row r="4" spans="1:12" x14ac:dyDescent="0.25">
      <c r="A4" t="s">
        <v>2</v>
      </c>
      <c r="B4" s="2">
        <v>2071</v>
      </c>
      <c r="C4" s="2">
        <v>543</v>
      </c>
      <c r="D4" s="2">
        <v>1703</v>
      </c>
      <c r="E4" s="2">
        <v>6718</v>
      </c>
      <c r="F4" s="2">
        <v>537</v>
      </c>
      <c r="G4" s="2">
        <v>1695</v>
      </c>
      <c r="H4" s="2">
        <v>6793</v>
      </c>
      <c r="I4" s="2">
        <v>1022</v>
      </c>
      <c r="J4" s="2">
        <v>1021</v>
      </c>
      <c r="K4" s="2">
        <v>490442</v>
      </c>
      <c r="L4" s="2">
        <v>412278</v>
      </c>
    </row>
    <row r="5" spans="1:12" x14ac:dyDescent="0.25">
      <c r="A5" t="s">
        <v>3</v>
      </c>
      <c r="B5" s="2">
        <v>8115</v>
      </c>
      <c r="C5" s="2">
        <v>975</v>
      </c>
      <c r="D5" s="2">
        <v>8077</v>
      </c>
      <c r="E5" s="2">
        <v>20346</v>
      </c>
      <c r="F5" s="2">
        <v>982</v>
      </c>
      <c r="G5" s="2">
        <v>8161</v>
      </c>
      <c r="H5" s="2">
        <v>20386</v>
      </c>
      <c r="I5" s="2">
        <v>16607</v>
      </c>
      <c r="J5" s="2">
        <v>17203</v>
      </c>
      <c r="K5" s="2">
        <v>31897</v>
      </c>
      <c r="L5" s="2">
        <v>31686</v>
      </c>
    </row>
    <row r="6" spans="1:12" x14ac:dyDescent="0.25">
      <c r="A6" t="s">
        <v>4</v>
      </c>
      <c r="B6" s="2">
        <v>64</v>
      </c>
      <c r="C6" s="2">
        <v>64</v>
      </c>
      <c r="D6">
        <v>64</v>
      </c>
      <c r="E6" s="2">
        <v>64</v>
      </c>
      <c r="F6" s="2">
        <v>64</v>
      </c>
      <c r="G6">
        <v>64</v>
      </c>
      <c r="H6">
        <v>64</v>
      </c>
      <c r="I6" s="2">
        <v>102</v>
      </c>
      <c r="J6" s="2">
        <v>103</v>
      </c>
      <c r="K6" s="2">
        <v>116</v>
      </c>
      <c r="L6" s="2">
        <v>104</v>
      </c>
    </row>
    <row r="7" spans="1:12" x14ac:dyDescent="0.25">
      <c r="A7" t="s">
        <v>5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 s="2">
        <v>3</v>
      </c>
      <c r="J7">
        <v>3</v>
      </c>
      <c r="K7">
        <v>3</v>
      </c>
      <c r="L7" s="2">
        <v>3</v>
      </c>
    </row>
    <row r="8" spans="1:12" x14ac:dyDescent="0.25">
      <c r="A8" t="s">
        <v>6</v>
      </c>
      <c r="B8" s="2">
        <v>9996</v>
      </c>
      <c r="C8" s="2">
        <v>1000</v>
      </c>
      <c r="D8" s="2">
        <v>9892</v>
      </c>
      <c r="E8" s="2">
        <v>47866</v>
      </c>
      <c r="F8" s="2">
        <v>1000</v>
      </c>
      <c r="G8" s="2">
        <v>9900</v>
      </c>
      <c r="H8" s="2">
        <v>47906</v>
      </c>
      <c r="I8" s="2">
        <v>3366</v>
      </c>
      <c r="J8" s="2">
        <v>3014</v>
      </c>
      <c r="K8" s="2">
        <v>3415863</v>
      </c>
      <c r="L8" s="2">
        <v>3524152</v>
      </c>
    </row>
    <row r="9" spans="1:12" x14ac:dyDescent="0.25">
      <c r="A9" t="s">
        <v>7</v>
      </c>
      <c r="B9" s="2">
        <v>9532</v>
      </c>
      <c r="C9" s="2">
        <v>995</v>
      </c>
      <c r="D9" s="2">
        <v>9508</v>
      </c>
      <c r="E9" s="2">
        <v>39466</v>
      </c>
      <c r="F9" s="2">
        <v>990</v>
      </c>
      <c r="G9" s="2">
        <v>9527</v>
      </c>
      <c r="H9" s="2">
        <v>39334</v>
      </c>
      <c r="I9" s="2">
        <v>3304</v>
      </c>
      <c r="J9" s="2">
        <v>2966</v>
      </c>
      <c r="K9" s="2">
        <v>862</v>
      </c>
      <c r="L9" s="2">
        <v>1254</v>
      </c>
    </row>
  </sheetData>
  <mergeCells count="4">
    <mergeCell ref="A1:A2"/>
    <mergeCell ref="K1:L1"/>
    <mergeCell ref="B1:H1"/>
    <mergeCell ref="I1:J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47C0-E45F-4DCC-BE10-48A4E43C96F5}">
  <dimension ref="A1:M47"/>
  <sheetViews>
    <sheetView topLeftCell="A22" workbookViewId="0">
      <selection activeCell="G52" sqref="G52"/>
    </sheetView>
  </sheetViews>
  <sheetFormatPr baseColWidth="10" defaultRowHeight="15" x14ac:dyDescent="0.25"/>
  <cols>
    <col min="2" max="2" width="12.7109375" customWidth="1"/>
    <col min="5" max="5" width="13.85546875" customWidth="1"/>
    <col min="8" max="8" width="13.5703125" customWidth="1"/>
    <col min="9" max="9" width="14.85546875" customWidth="1"/>
    <col min="10" max="10" width="13.7109375" bestFit="1" customWidth="1"/>
    <col min="11" max="11" width="18.28515625" customWidth="1"/>
    <col min="13" max="13" width="17.42578125" customWidth="1"/>
    <col min="17" max="17" width="12" bestFit="1" customWidth="1"/>
  </cols>
  <sheetData>
    <row r="1" spans="1:13" x14ac:dyDescent="0.25">
      <c r="A1" s="48" t="s">
        <v>46</v>
      </c>
      <c r="B1" s="49" t="s">
        <v>22</v>
      </c>
      <c r="C1" s="49"/>
      <c r="D1" s="49"/>
      <c r="E1" s="49"/>
      <c r="F1" s="49" t="s">
        <v>23</v>
      </c>
      <c r="G1" s="49"/>
      <c r="H1" s="49"/>
      <c r="I1" s="49"/>
    </row>
    <row r="2" spans="1:13" s="1" customFormat="1" x14ac:dyDescent="0.25">
      <c r="A2" s="48"/>
      <c r="B2" s="49" t="s">
        <v>18</v>
      </c>
      <c r="C2" s="49"/>
      <c r="D2" s="49"/>
      <c r="E2" s="49"/>
      <c r="F2" s="50" t="s">
        <v>21</v>
      </c>
      <c r="G2" s="50"/>
      <c r="H2" s="50"/>
      <c r="I2" s="50"/>
    </row>
    <row r="3" spans="1:13" s="3" customFormat="1" x14ac:dyDescent="0.25">
      <c r="A3" s="49"/>
      <c r="B3" s="9" t="s">
        <v>32</v>
      </c>
      <c r="C3" s="9" t="s">
        <v>34</v>
      </c>
      <c r="D3" s="9" t="s">
        <v>35</v>
      </c>
      <c r="E3" s="9" t="s">
        <v>33</v>
      </c>
      <c r="F3" s="9" t="s">
        <v>32</v>
      </c>
      <c r="G3" s="9" t="s">
        <v>34</v>
      </c>
      <c r="H3" s="9" t="s">
        <v>35</v>
      </c>
      <c r="I3" s="9" t="s">
        <v>33</v>
      </c>
      <c r="J3" s="41" t="s">
        <v>50</v>
      </c>
      <c r="K3" s="41" t="s">
        <v>50</v>
      </c>
    </row>
    <row r="4" spans="1:13" x14ac:dyDescent="0.25">
      <c r="A4" s="4" t="s">
        <v>24</v>
      </c>
      <c r="B4" s="15">
        <v>8617</v>
      </c>
      <c r="C4" s="10">
        <f>B4/10000</f>
        <v>0.86170000000000002</v>
      </c>
      <c r="D4" s="5">
        <v>48.25</v>
      </c>
      <c r="E4" s="15">
        <v>897390000</v>
      </c>
      <c r="F4" s="15">
        <v>2588037</v>
      </c>
      <c r="G4" s="16">
        <f>F4/7721404</f>
        <v>0.33517699630792536</v>
      </c>
      <c r="H4" s="17">
        <v>349.3</v>
      </c>
      <c r="I4" s="15">
        <v>897390000</v>
      </c>
      <c r="J4" s="38"/>
      <c r="K4" s="38"/>
    </row>
    <row r="5" spans="1:13" x14ac:dyDescent="0.25">
      <c r="A5" s="4" t="s">
        <v>25</v>
      </c>
      <c r="B5" s="15">
        <v>5373</v>
      </c>
      <c r="C5" s="10">
        <f t="shared" ref="C5:C9" si="0">B5/10000</f>
        <v>0.5373</v>
      </c>
      <c r="D5" s="5">
        <v>0.22</v>
      </c>
      <c r="E5" s="15">
        <f>897552416-E4</f>
        <v>162416</v>
      </c>
      <c r="F5" s="15">
        <v>2219278</v>
      </c>
      <c r="G5" s="16">
        <f t="shared" ref="G5:G9" si="1">F5/7721404</f>
        <v>0.28741897199006811</v>
      </c>
      <c r="H5" s="17">
        <v>266.02</v>
      </c>
      <c r="I5" s="15">
        <f>945935300-I4</f>
        <v>48545300</v>
      </c>
      <c r="J5" s="38"/>
      <c r="K5" s="38"/>
    </row>
    <row r="6" spans="1:13" x14ac:dyDescent="0.25">
      <c r="A6" s="4" t="s">
        <v>26</v>
      </c>
      <c r="B6" s="15">
        <v>4056</v>
      </c>
      <c r="C6" s="10">
        <f t="shared" si="0"/>
        <v>0.40560000000000002</v>
      </c>
      <c r="D6" s="5">
        <v>0.06</v>
      </c>
      <c r="E6" s="15">
        <f>897559666-E5-E4</f>
        <v>7250</v>
      </c>
      <c r="F6" s="15">
        <v>1941254</v>
      </c>
      <c r="G6" s="16">
        <f t="shared" si="1"/>
        <v>0.25141204889680685</v>
      </c>
      <c r="H6" s="17">
        <v>226.85</v>
      </c>
      <c r="I6" s="15">
        <f>953247753-I5-I4</f>
        <v>7312453</v>
      </c>
      <c r="J6" s="38"/>
      <c r="K6" s="38"/>
      <c r="M6">
        <v>500</v>
      </c>
    </row>
    <row r="7" spans="1:13" x14ac:dyDescent="0.25">
      <c r="A7" s="4" t="s">
        <v>27</v>
      </c>
      <c r="B7" s="15">
        <v>2246</v>
      </c>
      <c r="C7" s="10">
        <f t="shared" si="0"/>
        <v>0.22459999999999999</v>
      </c>
      <c r="D7" s="5">
        <v>0.04</v>
      </c>
      <c r="E7" s="15">
        <f>897571271-E6-E5-E4</f>
        <v>11605</v>
      </c>
      <c r="F7" s="15">
        <v>1756677</v>
      </c>
      <c r="G7" s="16">
        <f t="shared" si="1"/>
        <v>0.22750745848811951</v>
      </c>
      <c r="H7" s="17">
        <v>134.47999999999999</v>
      </c>
      <c r="I7" s="15">
        <f>959086480-I6-I5-I4</f>
        <v>5838727</v>
      </c>
      <c r="J7" s="38"/>
      <c r="K7" s="38"/>
    </row>
    <row r="8" spans="1:13" x14ac:dyDescent="0.25">
      <c r="A8" s="4" t="s">
        <v>28</v>
      </c>
      <c r="B8" s="15">
        <v>2245</v>
      </c>
      <c r="C8" s="10">
        <f t="shared" si="0"/>
        <v>0.22450000000000001</v>
      </c>
      <c r="D8" s="17">
        <v>2</v>
      </c>
      <c r="E8" s="15">
        <f>899817271-E7-E6-E5-E4</f>
        <v>2246000</v>
      </c>
      <c r="F8" s="15">
        <v>1759741</v>
      </c>
      <c r="G8" s="16">
        <f t="shared" si="1"/>
        <v>0.22790427751222447</v>
      </c>
      <c r="H8" s="17">
        <v>2554.4499999999998</v>
      </c>
      <c r="I8" s="15">
        <f>2715763480-I7-I6-I5-I4</f>
        <v>1756677000</v>
      </c>
      <c r="J8" s="38"/>
      <c r="K8" s="38"/>
    </row>
    <row r="9" spans="1:13" x14ac:dyDescent="0.25">
      <c r="A9" s="4" t="s">
        <v>29</v>
      </c>
      <c r="B9" s="15">
        <v>162</v>
      </c>
      <c r="C9" s="10">
        <f t="shared" si="0"/>
        <v>1.6199999999999999E-2</v>
      </c>
      <c r="D9" s="17">
        <v>36.799999999999997</v>
      </c>
      <c r="E9" s="15">
        <f>1461389143-E8-E7-E6-E5-E4</f>
        <v>561571872</v>
      </c>
      <c r="F9" s="15">
        <v>16345</v>
      </c>
      <c r="G9" s="16">
        <f t="shared" si="1"/>
        <v>2.1168429990193493E-3</v>
      </c>
      <c r="H9" s="17">
        <v>794.12</v>
      </c>
      <c r="I9" s="15">
        <f>3537888316-I8-I7-I6-I5-I4</f>
        <v>822124836</v>
      </c>
      <c r="J9" s="42">
        <f>H9*500</f>
        <v>397060</v>
      </c>
      <c r="K9" s="43">
        <f>I9*500</f>
        <v>411062418000</v>
      </c>
    </row>
    <row r="10" spans="1:13" x14ac:dyDescent="0.25">
      <c r="A10" s="6" t="s">
        <v>30</v>
      </c>
      <c r="B10" s="11">
        <f>SUM(B4:B9)</f>
        <v>22699</v>
      </c>
      <c r="C10" s="11">
        <f t="shared" ref="C10:I10" si="2">SUM(C4:C9)</f>
        <v>2.2698999999999998</v>
      </c>
      <c r="D10" s="7">
        <f t="shared" si="2"/>
        <v>87.37</v>
      </c>
      <c r="E10" s="20">
        <f t="shared" si="2"/>
        <v>1461389143</v>
      </c>
      <c r="F10" s="11">
        <f t="shared" si="2"/>
        <v>10281332</v>
      </c>
      <c r="G10" s="11">
        <f t="shared" si="2"/>
        <v>1.3315365961941636</v>
      </c>
      <c r="H10" s="18">
        <f t="shared" si="2"/>
        <v>4325.22</v>
      </c>
      <c r="I10" s="20">
        <f t="shared" si="2"/>
        <v>3537888316</v>
      </c>
      <c r="J10" s="39">
        <f>H10-H9+J9</f>
        <v>400591.1</v>
      </c>
      <c r="K10" s="40">
        <f>I10-I9+K9</f>
        <v>413778181480</v>
      </c>
    </row>
    <row r="11" spans="1:13" x14ac:dyDescent="0.25">
      <c r="A11" s="27"/>
      <c r="B11" s="5"/>
      <c r="C11" s="5"/>
      <c r="D11" s="5"/>
      <c r="E11" s="15"/>
      <c r="F11" s="5"/>
      <c r="G11" s="5"/>
      <c r="H11" s="44" t="s">
        <v>51</v>
      </c>
      <c r="I11" s="44" t="s">
        <v>51</v>
      </c>
    </row>
    <row r="13" spans="1:13" x14ac:dyDescent="0.25">
      <c r="A13" s="48" t="s">
        <v>46</v>
      </c>
      <c r="B13" s="49" t="s">
        <v>22</v>
      </c>
      <c r="C13" s="49"/>
      <c r="D13" s="49"/>
      <c r="E13" s="49"/>
      <c r="F13" s="49" t="s">
        <v>23</v>
      </c>
      <c r="G13" s="49"/>
      <c r="H13" s="49"/>
      <c r="I13" s="49"/>
    </row>
    <row r="14" spans="1:13" x14ac:dyDescent="0.25">
      <c r="A14" s="48"/>
      <c r="B14" s="49" t="s">
        <v>18</v>
      </c>
      <c r="C14" s="49"/>
      <c r="D14" s="49"/>
      <c r="E14" s="49"/>
      <c r="F14" s="50" t="s">
        <v>21</v>
      </c>
      <c r="G14" s="50"/>
      <c r="H14" s="50"/>
      <c r="I14" s="50"/>
    </row>
    <row r="15" spans="1:13" x14ac:dyDescent="0.25">
      <c r="A15" s="49"/>
      <c r="B15" s="9" t="s">
        <v>32</v>
      </c>
      <c r="C15" s="9" t="s">
        <v>34</v>
      </c>
      <c r="D15" s="9" t="s">
        <v>35</v>
      </c>
      <c r="E15" s="9" t="s">
        <v>33</v>
      </c>
      <c r="F15" s="9" t="s">
        <v>32</v>
      </c>
      <c r="G15" s="9" t="s">
        <v>34</v>
      </c>
      <c r="H15" s="9" t="s">
        <v>35</v>
      </c>
      <c r="I15" s="9" t="s">
        <v>33</v>
      </c>
      <c r="J15" s="41" t="s">
        <v>50</v>
      </c>
      <c r="K15" s="41" t="s">
        <v>50</v>
      </c>
    </row>
    <row r="16" spans="1:13" x14ac:dyDescent="0.25">
      <c r="A16" s="4" t="s">
        <v>24</v>
      </c>
      <c r="B16" s="15">
        <v>8621</v>
      </c>
      <c r="C16" s="16">
        <f>B16/10000</f>
        <v>0.86209999999999998</v>
      </c>
      <c r="D16" s="17">
        <v>97.05</v>
      </c>
      <c r="E16" s="15">
        <v>1794780000</v>
      </c>
      <c r="F16" s="15">
        <v>3187586</v>
      </c>
      <c r="G16" s="16">
        <f>F16/7721404</f>
        <v>0.41282466245776028</v>
      </c>
      <c r="H16" s="17">
        <v>378.73</v>
      </c>
      <c r="I16" s="15">
        <v>1794780000</v>
      </c>
      <c r="J16" s="38"/>
      <c r="K16" s="40"/>
    </row>
    <row r="17" spans="1:13" x14ac:dyDescent="0.25">
      <c r="A17" s="4" t="s">
        <v>25</v>
      </c>
      <c r="B17" s="15">
        <v>7325</v>
      </c>
      <c r="C17" s="16">
        <f t="shared" ref="C17:C21" si="3">B17/10000</f>
        <v>0.73250000000000004</v>
      </c>
      <c r="D17" s="17">
        <v>0.24</v>
      </c>
      <c r="E17" s="15">
        <f>1795033939-E16</f>
        <v>253939</v>
      </c>
      <c r="F17" s="15">
        <v>2984711</v>
      </c>
      <c r="G17" s="16">
        <f t="shared" ref="G17:G21" si="4">F17/7721404</f>
        <v>0.38655029577522432</v>
      </c>
      <c r="H17" s="17">
        <v>239.39</v>
      </c>
      <c r="I17" s="15">
        <f>1882466860-I16</f>
        <v>87686860</v>
      </c>
      <c r="J17" s="38"/>
      <c r="K17" s="40"/>
    </row>
    <row r="18" spans="1:13" x14ac:dyDescent="0.25">
      <c r="A18" s="4" t="s">
        <v>26</v>
      </c>
      <c r="B18" s="15">
        <v>6343</v>
      </c>
      <c r="C18" s="16">
        <f t="shared" si="3"/>
        <v>0.63429999999999997</v>
      </c>
      <c r="D18" s="17">
        <v>0.08</v>
      </c>
      <c r="E18" s="15">
        <f>1795046050-E17-E16</f>
        <v>12111</v>
      </c>
      <c r="F18" s="15">
        <v>2694051</v>
      </c>
      <c r="G18" s="16">
        <f t="shared" si="4"/>
        <v>0.34890688273790621</v>
      </c>
      <c r="H18" s="17">
        <v>224.49</v>
      </c>
      <c r="I18" s="15">
        <f>1895478926-I17-I16</f>
        <v>13012066</v>
      </c>
      <c r="J18" s="38"/>
      <c r="K18" s="40"/>
      <c r="M18">
        <v>1000</v>
      </c>
    </row>
    <row r="19" spans="1:13" x14ac:dyDescent="0.25">
      <c r="A19" s="4" t="s">
        <v>27</v>
      </c>
      <c r="B19" s="15">
        <v>4438</v>
      </c>
      <c r="C19" s="16">
        <f t="shared" si="3"/>
        <v>0.44379999999999997</v>
      </c>
      <c r="D19" s="17">
        <v>0.11</v>
      </c>
      <c r="E19" s="15">
        <f>1795080471-E18-E17-E16</f>
        <v>34421</v>
      </c>
      <c r="F19" s="15">
        <v>2491214</v>
      </c>
      <c r="G19" s="16">
        <f t="shared" si="4"/>
        <v>0.32263743744013396</v>
      </c>
      <c r="H19" s="17">
        <v>179.1</v>
      </c>
      <c r="I19" s="15">
        <f>1910937086-I18-I17-I16</f>
        <v>15458160</v>
      </c>
      <c r="J19" s="38"/>
      <c r="K19" s="40"/>
    </row>
    <row r="20" spans="1:13" x14ac:dyDescent="0.25">
      <c r="A20" s="4" t="s">
        <v>28</v>
      </c>
      <c r="B20" s="15">
        <v>4433</v>
      </c>
      <c r="C20" s="16">
        <f t="shared" si="3"/>
        <v>0.44330000000000003</v>
      </c>
      <c r="D20" s="17">
        <v>3.97</v>
      </c>
      <c r="E20" s="15">
        <f>1799518471-E19-E18-E17-E16</f>
        <v>4438000</v>
      </c>
      <c r="F20" s="15">
        <v>2494444</v>
      </c>
      <c r="G20" s="16">
        <f t="shared" si="4"/>
        <v>0.32305575514504875</v>
      </c>
      <c r="H20" s="17">
        <v>3456.98</v>
      </c>
      <c r="I20" s="15">
        <f>4402151086-I19-I18-I17-I16</f>
        <v>2491214000</v>
      </c>
      <c r="J20" s="38"/>
      <c r="K20" s="40"/>
    </row>
    <row r="21" spans="1:13" x14ac:dyDescent="0.25">
      <c r="A21" s="4" t="s">
        <v>29</v>
      </c>
      <c r="B21" s="5">
        <v>516</v>
      </c>
      <c r="C21" s="16">
        <f t="shared" si="3"/>
        <v>5.16E-2</v>
      </c>
      <c r="D21" s="17">
        <v>131.81</v>
      </c>
      <c r="E21" s="15">
        <f>4018820255-E20-E19-E18-E17-E16</f>
        <v>2219301784</v>
      </c>
      <c r="F21" s="15">
        <v>37467</v>
      </c>
      <c r="G21" s="16">
        <f t="shared" si="4"/>
        <v>4.8523558668863848E-3</v>
      </c>
      <c r="H21" s="17">
        <v>2181.81</v>
      </c>
      <c r="I21" s="15">
        <f>6669155826-I20-I19-I18-I17-I16</f>
        <v>2267004740</v>
      </c>
      <c r="J21" s="42">
        <f>H21*1000</f>
        <v>2181810</v>
      </c>
      <c r="K21" s="43">
        <f>I21*1000</f>
        <v>2267004740000</v>
      </c>
    </row>
    <row r="22" spans="1:13" x14ac:dyDescent="0.25">
      <c r="A22" s="6" t="s">
        <v>30</v>
      </c>
      <c r="B22" s="11">
        <f t="shared" ref="B22:I22" si="5">SUM(B16:B21)</f>
        <v>31676</v>
      </c>
      <c r="C22" s="11">
        <f t="shared" si="5"/>
        <v>3.1675999999999997</v>
      </c>
      <c r="D22" s="18">
        <f t="shared" si="5"/>
        <v>233.26</v>
      </c>
      <c r="E22" s="20">
        <f t="shared" si="5"/>
        <v>4018820255</v>
      </c>
      <c r="F22" s="11">
        <f t="shared" si="5"/>
        <v>13889473</v>
      </c>
      <c r="G22" s="11">
        <f t="shared" si="5"/>
        <v>1.7988273894229601</v>
      </c>
      <c r="H22" s="18">
        <f t="shared" si="5"/>
        <v>6660.5</v>
      </c>
      <c r="I22" s="20">
        <f t="shared" si="5"/>
        <v>6669155826</v>
      </c>
      <c r="J22" s="39">
        <f>H22-H21+J21</f>
        <v>2186288.69</v>
      </c>
      <c r="K22" s="40">
        <f>I22-I21+K21</f>
        <v>2271406891086</v>
      </c>
    </row>
    <row r="23" spans="1:13" x14ac:dyDescent="0.25">
      <c r="A23" s="27"/>
      <c r="B23" s="5"/>
      <c r="C23" s="5"/>
      <c r="D23" s="17"/>
      <c r="E23" s="15"/>
      <c r="F23" s="5"/>
      <c r="G23" s="5"/>
      <c r="H23" s="44" t="s">
        <v>52</v>
      </c>
      <c r="I23" s="44" t="s">
        <v>52</v>
      </c>
    </row>
    <row r="25" spans="1:13" x14ac:dyDescent="0.25">
      <c r="A25" s="48" t="s">
        <v>46</v>
      </c>
      <c r="B25" s="49" t="s">
        <v>22</v>
      </c>
      <c r="C25" s="49"/>
      <c r="D25" s="49"/>
      <c r="E25" s="49"/>
      <c r="F25" s="49" t="s">
        <v>23</v>
      </c>
      <c r="G25" s="49"/>
      <c r="H25" s="49"/>
      <c r="I25" s="49"/>
    </row>
    <row r="26" spans="1:13" x14ac:dyDescent="0.25">
      <c r="A26" s="48"/>
      <c r="B26" s="49" t="s">
        <v>19</v>
      </c>
      <c r="C26" s="49"/>
      <c r="D26" s="49"/>
      <c r="E26" s="49"/>
      <c r="F26" s="50" t="s">
        <v>21</v>
      </c>
      <c r="G26" s="50"/>
      <c r="H26" s="50"/>
      <c r="I26" s="50"/>
    </row>
    <row r="27" spans="1:13" x14ac:dyDescent="0.25">
      <c r="A27" s="49"/>
      <c r="B27" s="9" t="s">
        <v>32</v>
      </c>
      <c r="C27" s="9" t="s">
        <v>34</v>
      </c>
      <c r="D27" s="9" t="s">
        <v>35</v>
      </c>
      <c r="E27" s="9" t="s">
        <v>33</v>
      </c>
      <c r="F27" s="9" t="s">
        <v>32</v>
      </c>
      <c r="G27" s="9" t="s">
        <v>34</v>
      </c>
      <c r="H27" s="9" t="s">
        <v>35</v>
      </c>
      <c r="I27" s="9" t="s">
        <v>33</v>
      </c>
      <c r="J27" s="41" t="s">
        <v>50</v>
      </c>
      <c r="K27" s="41" t="s">
        <v>50</v>
      </c>
    </row>
    <row r="28" spans="1:13" x14ac:dyDescent="0.25">
      <c r="A28" s="4" t="s">
        <v>24</v>
      </c>
      <c r="B28" s="15">
        <v>8633</v>
      </c>
      <c r="C28" s="16">
        <f>B28/10000</f>
        <v>0.86329999999999996</v>
      </c>
      <c r="D28" s="17">
        <v>359.85</v>
      </c>
      <c r="E28" s="15">
        <v>3589560000</v>
      </c>
      <c r="F28" s="24">
        <v>3797780</v>
      </c>
      <c r="G28" s="16">
        <f>F28/7721404</f>
        <v>0.49185096389205901</v>
      </c>
      <c r="H28" s="5">
        <v>397.62</v>
      </c>
      <c r="I28" s="24">
        <v>3589560000</v>
      </c>
      <c r="J28" s="38"/>
      <c r="K28" s="38"/>
    </row>
    <row r="29" spans="1:13" x14ac:dyDescent="0.25">
      <c r="A29" s="4" t="s">
        <v>25</v>
      </c>
      <c r="B29" s="15">
        <v>8633</v>
      </c>
      <c r="C29" s="16">
        <f t="shared" ref="C29:C33" si="6">B29/10000</f>
        <v>0.86329999999999996</v>
      </c>
      <c r="D29" s="17">
        <v>0.38</v>
      </c>
      <c r="E29" s="15">
        <f>3589907482-E28</f>
        <v>347482</v>
      </c>
      <c r="F29" s="24">
        <v>3707280</v>
      </c>
      <c r="G29" s="16">
        <f t="shared" ref="G29:G33" si="7">F29/7721404</f>
        <v>0.48013029754692282</v>
      </c>
      <c r="H29" s="5">
        <v>219.46</v>
      </c>
      <c r="I29" s="15">
        <f>3738646942-I28</f>
        <v>149086942</v>
      </c>
      <c r="J29" s="38"/>
      <c r="K29" s="38"/>
    </row>
    <row r="30" spans="1:13" x14ac:dyDescent="0.25">
      <c r="A30" s="4" t="s">
        <v>26</v>
      </c>
      <c r="B30" s="15">
        <v>8633</v>
      </c>
      <c r="C30" s="16">
        <f t="shared" si="6"/>
        <v>0.86329999999999996</v>
      </c>
      <c r="D30" s="17">
        <v>0.12</v>
      </c>
      <c r="E30" s="15">
        <f>3589925473-E29-E28</f>
        <v>17991</v>
      </c>
      <c r="F30" s="24">
        <v>3221664</v>
      </c>
      <c r="G30" s="16">
        <f t="shared" si="7"/>
        <v>0.41723810850979953</v>
      </c>
      <c r="H30" s="5">
        <v>57.26</v>
      </c>
      <c r="I30" s="15">
        <f>3750098030-I29-I28</f>
        <v>11451088</v>
      </c>
      <c r="J30" s="38"/>
      <c r="K30" s="38"/>
      <c r="M30">
        <v>2000</v>
      </c>
    </row>
    <row r="31" spans="1:13" x14ac:dyDescent="0.25">
      <c r="A31" s="4" t="s">
        <v>27</v>
      </c>
      <c r="B31" s="15">
        <v>8633</v>
      </c>
      <c r="C31" s="16">
        <f t="shared" si="6"/>
        <v>0.86329999999999996</v>
      </c>
      <c r="D31" s="17">
        <v>0.35</v>
      </c>
      <c r="E31" s="15">
        <f>3590046880-E30-E29-E28</f>
        <v>121407</v>
      </c>
      <c r="F31" s="24">
        <v>3221664</v>
      </c>
      <c r="G31" s="16">
        <f t="shared" si="7"/>
        <v>0.41723810850979953</v>
      </c>
      <c r="H31" s="5">
        <v>86.67</v>
      </c>
      <c r="I31" s="15">
        <f>3777655092-I30-I29-I28</f>
        <v>27557062</v>
      </c>
      <c r="J31" s="38"/>
      <c r="K31" s="38"/>
    </row>
    <row r="32" spans="1:13" x14ac:dyDescent="0.25">
      <c r="A32" s="4" t="s">
        <v>28</v>
      </c>
      <c r="B32" s="15">
        <v>8626</v>
      </c>
      <c r="C32" s="16">
        <f t="shared" si="6"/>
        <v>0.86260000000000003</v>
      </c>
      <c r="D32" s="17">
        <v>9.1999999999999993</v>
      </c>
      <c r="E32" s="15">
        <f>3598679880-E31-E30-E29-E28</f>
        <v>8633000</v>
      </c>
      <c r="F32" s="24">
        <v>3224981</v>
      </c>
      <c r="G32" s="16">
        <f t="shared" si="7"/>
        <v>0.41766769359562067</v>
      </c>
      <c r="H32" s="17">
        <v>4914.79</v>
      </c>
      <c r="I32" s="15">
        <v>3221664000</v>
      </c>
      <c r="J32" s="38"/>
      <c r="K32" s="38"/>
    </row>
    <row r="33" spans="1:11" x14ac:dyDescent="0.25">
      <c r="A33" s="4" t="s">
        <v>29</v>
      </c>
      <c r="B33" s="15">
        <v>2584</v>
      </c>
      <c r="C33" s="16">
        <f t="shared" si="6"/>
        <v>0.25840000000000002</v>
      </c>
      <c r="D33" s="17">
        <v>1003.18</v>
      </c>
      <c r="E33" s="15">
        <f>12231818008-E32-E31-E30-E28-E29</f>
        <v>8633138128</v>
      </c>
      <c r="F33" s="24">
        <v>71095</v>
      </c>
      <c r="G33" s="16">
        <f t="shared" si="7"/>
        <v>9.2075223625133467E-3</v>
      </c>
      <c r="H33" s="17">
        <v>4053</v>
      </c>
      <c r="I33" s="15">
        <v>5802216864</v>
      </c>
      <c r="J33" s="42">
        <f>H33*2000</f>
        <v>8106000</v>
      </c>
      <c r="K33" s="43">
        <f>I33*2000</f>
        <v>11604433728000</v>
      </c>
    </row>
    <row r="34" spans="1:11" x14ac:dyDescent="0.25">
      <c r="A34" s="6" t="s">
        <v>30</v>
      </c>
      <c r="B34" s="11">
        <f t="shared" ref="B34:I34" si="8">SUM(B28:B33)</f>
        <v>45742</v>
      </c>
      <c r="C34" s="11">
        <f t="shared" si="8"/>
        <v>4.5741999999999994</v>
      </c>
      <c r="D34" s="18">
        <f t="shared" si="8"/>
        <v>1373.08</v>
      </c>
      <c r="E34" s="20">
        <f t="shared" si="8"/>
        <v>12231818008</v>
      </c>
      <c r="F34" s="11">
        <f t="shared" si="8"/>
        <v>17244464</v>
      </c>
      <c r="G34" s="11">
        <f t="shared" si="8"/>
        <v>2.2333326944167147</v>
      </c>
      <c r="H34" s="18">
        <f t="shared" si="8"/>
        <v>9728.7999999999993</v>
      </c>
      <c r="I34" s="20">
        <f t="shared" si="8"/>
        <v>12801535956</v>
      </c>
      <c r="J34" s="39">
        <f>H34-H33+J33</f>
        <v>8111675.7999999998</v>
      </c>
      <c r="K34" s="40">
        <f>I34-I33+K33</f>
        <v>11611433047092</v>
      </c>
    </row>
    <row r="35" spans="1:11" x14ac:dyDescent="0.25">
      <c r="H35" s="44" t="s">
        <v>53</v>
      </c>
      <c r="I35" s="44" t="s">
        <v>53</v>
      </c>
    </row>
    <row r="37" spans="1:11" x14ac:dyDescent="0.25">
      <c r="B37" t="s">
        <v>45</v>
      </c>
    </row>
    <row r="43" spans="1:11" x14ac:dyDescent="0.25">
      <c r="D43" s="24"/>
    </row>
    <row r="44" spans="1:11" x14ac:dyDescent="0.25">
      <c r="D44" s="24"/>
    </row>
    <row r="45" spans="1:11" x14ac:dyDescent="0.25">
      <c r="D45" s="24"/>
    </row>
    <row r="46" spans="1:11" x14ac:dyDescent="0.25">
      <c r="D46" s="24"/>
    </row>
    <row r="47" spans="1:11" x14ac:dyDescent="0.25">
      <c r="D47" s="24"/>
    </row>
  </sheetData>
  <mergeCells count="15">
    <mergeCell ref="A1:A3"/>
    <mergeCell ref="B1:E1"/>
    <mergeCell ref="F1:I1"/>
    <mergeCell ref="B2:E2"/>
    <mergeCell ref="F2:I2"/>
    <mergeCell ref="A13:A15"/>
    <mergeCell ref="B13:E13"/>
    <mergeCell ref="F13:I13"/>
    <mergeCell ref="B14:E14"/>
    <mergeCell ref="F14:I14"/>
    <mergeCell ref="A25:A27"/>
    <mergeCell ref="B25:E25"/>
    <mergeCell ref="F25:I25"/>
    <mergeCell ref="B26:E26"/>
    <mergeCell ref="F26:I2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5DBB-1271-4BE3-B9B7-565494E5FF5E}">
  <dimension ref="A1:M33"/>
  <sheetViews>
    <sheetView topLeftCell="A16" workbookViewId="0">
      <selection activeCell="E5" sqref="E5"/>
    </sheetView>
  </sheetViews>
  <sheetFormatPr baseColWidth="10" defaultRowHeight="15" x14ac:dyDescent="0.25"/>
  <cols>
    <col min="5" max="5" width="13.5703125" customWidth="1"/>
    <col min="8" max="8" width="13.140625" customWidth="1"/>
    <col min="9" max="9" width="13.85546875" customWidth="1"/>
    <col min="11" max="11" width="17.42578125" bestFit="1" customWidth="1"/>
    <col min="17" max="17" width="12" bestFit="1" customWidth="1"/>
  </cols>
  <sheetData>
    <row r="1" spans="1:13" x14ac:dyDescent="0.25">
      <c r="A1" s="48" t="s">
        <v>46</v>
      </c>
      <c r="B1" s="49" t="s">
        <v>22</v>
      </c>
      <c r="C1" s="49"/>
      <c r="D1" s="49"/>
      <c r="E1" s="49"/>
      <c r="F1" s="49" t="s">
        <v>23</v>
      </c>
      <c r="G1" s="49"/>
      <c r="H1" s="49"/>
      <c r="I1" s="49"/>
    </row>
    <row r="2" spans="1:13" s="1" customFormat="1" x14ac:dyDescent="0.25">
      <c r="A2" s="48"/>
      <c r="B2" s="49" t="s">
        <v>18</v>
      </c>
      <c r="C2" s="49"/>
      <c r="D2" s="49"/>
      <c r="E2" s="49"/>
      <c r="F2" s="50" t="s">
        <v>21</v>
      </c>
      <c r="G2" s="50"/>
      <c r="H2" s="50"/>
      <c r="I2" s="50"/>
    </row>
    <row r="3" spans="1:13" s="3" customFormat="1" x14ac:dyDescent="0.25">
      <c r="A3" s="49"/>
      <c r="B3" s="9" t="s">
        <v>32</v>
      </c>
      <c r="C3" s="9" t="s">
        <v>34</v>
      </c>
      <c r="D3" s="9" t="s">
        <v>35</v>
      </c>
      <c r="E3" s="9" t="s">
        <v>33</v>
      </c>
      <c r="F3" s="9" t="s">
        <v>32</v>
      </c>
      <c r="G3" s="9" t="s">
        <v>34</v>
      </c>
      <c r="H3" s="9" t="s">
        <v>35</v>
      </c>
      <c r="I3" s="9" t="s">
        <v>33</v>
      </c>
      <c r="J3" s="41" t="s">
        <v>50</v>
      </c>
      <c r="K3" s="41" t="s">
        <v>50</v>
      </c>
    </row>
    <row r="4" spans="1:13" x14ac:dyDescent="0.25">
      <c r="A4" s="4" t="s">
        <v>24</v>
      </c>
      <c r="B4" s="24">
        <v>8617</v>
      </c>
      <c r="C4" s="25">
        <f>B4/10000</f>
        <v>0.86170000000000002</v>
      </c>
      <c r="D4" s="21">
        <v>100.49</v>
      </c>
      <c r="E4" s="24">
        <v>897390000</v>
      </c>
      <c r="F4" s="24">
        <v>2588037</v>
      </c>
      <c r="G4" s="16">
        <f>F4/7721404</f>
        <v>0.33517699630792536</v>
      </c>
      <c r="H4" s="23">
        <v>294.01</v>
      </c>
      <c r="I4" s="24">
        <v>897390000</v>
      </c>
      <c r="J4" s="38"/>
      <c r="K4" s="38"/>
    </row>
    <row r="5" spans="1:13" x14ac:dyDescent="0.25">
      <c r="A5" s="4" t="s">
        <v>25</v>
      </c>
      <c r="B5" s="24">
        <v>5373</v>
      </c>
      <c r="C5" s="25">
        <f t="shared" ref="C5:C8" si="0">B5/10000</f>
        <v>0.5373</v>
      </c>
      <c r="D5" s="23">
        <v>0.3</v>
      </c>
      <c r="E5" s="24">
        <f>897552416-E4</f>
        <v>162416</v>
      </c>
      <c r="F5" s="24">
        <v>2219278</v>
      </c>
      <c r="G5" s="16">
        <f t="shared" ref="G5:G8" si="1">F5/7721404</f>
        <v>0.28741897199006811</v>
      </c>
      <c r="H5" s="23">
        <v>243.69</v>
      </c>
      <c r="I5" s="24">
        <f>945935300-I4</f>
        <v>48545300</v>
      </c>
      <c r="J5" s="38"/>
      <c r="K5" s="38"/>
      <c r="M5">
        <v>500</v>
      </c>
    </row>
    <row r="6" spans="1:13" x14ac:dyDescent="0.25">
      <c r="A6" s="4" t="s">
        <v>27</v>
      </c>
      <c r="B6" s="24">
        <v>2246</v>
      </c>
      <c r="C6" s="25">
        <f t="shared" si="0"/>
        <v>0.22459999999999999</v>
      </c>
      <c r="D6" s="23">
        <v>0.2</v>
      </c>
      <c r="E6" s="24">
        <f>897634704-E5-E4</f>
        <v>82288</v>
      </c>
      <c r="F6" s="24">
        <v>1756689</v>
      </c>
      <c r="G6" s="16">
        <f t="shared" si="1"/>
        <v>0.22750901260962383</v>
      </c>
      <c r="H6" s="23">
        <v>1251.1199999999999</v>
      </c>
      <c r="I6" s="24">
        <f>1007865470-I5-I4</f>
        <v>61930170</v>
      </c>
      <c r="J6" s="38"/>
      <c r="K6" s="38"/>
    </row>
    <row r="7" spans="1:13" x14ac:dyDescent="0.25">
      <c r="A7" s="4" t="s">
        <v>28</v>
      </c>
      <c r="B7" s="24">
        <v>2245</v>
      </c>
      <c r="C7" s="25">
        <f t="shared" si="0"/>
        <v>0.22450000000000001</v>
      </c>
      <c r="D7" s="21">
        <v>2.38</v>
      </c>
      <c r="E7" s="24">
        <f>899880704-E6-E5-E4</f>
        <v>2246000</v>
      </c>
      <c r="F7" s="24">
        <v>1759753</v>
      </c>
      <c r="G7" s="16">
        <f t="shared" si="1"/>
        <v>0.22790583163372879</v>
      </c>
      <c r="H7" s="23">
        <v>2256.33</v>
      </c>
      <c r="I7" s="24">
        <f>2764554470-I6-I5-I4</f>
        <v>1756689000</v>
      </c>
      <c r="J7" s="38"/>
      <c r="K7" s="38"/>
    </row>
    <row r="8" spans="1:13" x14ac:dyDescent="0.25">
      <c r="A8" s="4" t="s">
        <v>29</v>
      </c>
      <c r="B8" s="24">
        <v>162</v>
      </c>
      <c r="C8" s="25">
        <f t="shared" si="0"/>
        <v>1.6199999999999999E-2</v>
      </c>
      <c r="D8" s="21">
        <v>75.150000000000006</v>
      </c>
      <c r="E8" s="24">
        <f>1461452576-E7-E6-E5-E4</f>
        <v>561571872</v>
      </c>
      <c r="F8" s="24">
        <v>16345</v>
      </c>
      <c r="G8" s="16">
        <f t="shared" si="1"/>
        <v>2.1168429990193493E-3</v>
      </c>
      <c r="H8" s="23">
        <v>763.39</v>
      </c>
      <c r="I8" s="24">
        <f>3586684922-I7-I6-I5-I4</f>
        <v>822130452</v>
      </c>
      <c r="J8" s="42">
        <f>H8*500</f>
        <v>381695</v>
      </c>
      <c r="K8" s="43">
        <f>I8*500</f>
        <v>411065226000</v>
      </c>
      <c r="M8" t="s">
        <v>54</v>
      </c>
    </row>
    <row r="9" spans="1:13" x14ac:dyDescent="0.25">
      <c r="A9" s="6" t="s">
        <v>30</v>
      </c>
      <c r="B9" s="28">
        <f t="shared" ref="B9:I9" si="2">SUM(B4:B8)</f>
        <v>18643</v>
      </c>
      <c r="C9" s="28">
        <f t="shared" si="2"/>
        <v>1.8642999999999998</v>
      </c>
      <c r="D9" s="29">
        <f t="shared" si="2"/>
        <v>178.51999999999998</v>
      </c>
      <c r="E9" s="30">
        <f t="shared" si="2"/>
        <v>1461452576</v>
      </c>
      <c r="F9" s="28">
        <f t="shared" si="2"/>
        <v>8340102</v>
      </c>
      <c r="G9" s="28">
        <f t="shared" si="2"/>
        <v>1.0801276555403654</v>
      </c>
      <c r="H9" s="31">
        <f t="shared" si="2"/>
        <v>4808.54</v>
      </c>
      <c r="I9" s="30">
        <f t="shared" si="2"/>
        <v>3586684922</v>
      </c>
      <c r="J9" s="39">
        <f>H9-H8+J8</f>
        <v>385740.15</v>
      </c>
      <c r="K9" s="40">
        <f>I9-I8+K8</f>
        <v>413829780470</v>
      </c>
    </row>
    <row r="10" spans="1:13" x14ac:dyDescent="0.25">
      <c r="H10" s="44" t="s">
        <v>51</v>
      </c>
      <c r="I10" s="44" t="s">
        <v>51</v>
      </c>
    </row>
    <row r="12" spans="1:13" x14ac:dyDescent="0.25">
      <c r="A12" s="48" t="s">
        <v>46</v>
      </c>
      <c r="B12" s="49" t="s">
        <v>22</v>
      </c>
      <c r="C12" s="49"/>
      <c r="D12" s="49"/>
      <c r="E12" s="49"/>
      <c r="F12" s="49" t="s">
        <v>23</v>
      </c>
      <c r="G12" s="49"/>
      <c r="H12" s="49"/>
      <c r="I12" s="49"/>
    </row>
    <row r="13" spans="1:13" x14ac:dyDescent="0.25">
      <c r="A13" s="48"/>
      <c r="B13" s="49" t="s">
        <v>18</v>
      </c>
      <c r="C13" s="49"/>
      <c r="D13" s="49"/>
      <c r="E13" s="49"/>
      <c r="F13" s="50" t="s">
        <v>21</v>
      </c>
      <c r="G13" s="50"/>
      <c r="H13" s="50"/>
      <c r="I13" s="50"/>
    </row>
    <row r="14" spans="1:13" x14ac:dyDescent="0.25">
      <c r="A14" s="49"/>
      <c r="B14" s="9" t="s">
        <v>32</v>
      </c>
      <c r="C14" s="9" t="s">
        <v>34</v>
      </c>
      <c r="D14" s="9" t="s">
        <v>35</v>
      </c>
      <c r="E14" s="9" t="s">
        <v>33</v>
      </c>
      <c r="F14" s="9" t="s">
        <v>32</v>
      </c>
      <c r="G14" s="9" t="s">
        <v>34</v>
      </c>
      <c r="H14" s="9" t="s">
        <v>35</v>
      </c>
      <c r="I14" s="9" t="s">
        <v>33</v>
      </c>
      <c r="J14" s="41" t="s">
        <v>50</v>
      </c>
      <c r="K14" s="41" t="s">
        <v>50</v>
      </c>
    </row>
    <row r="15" spans="1:13" x14ac:dyDescent="0.25">
      <c r="A15" s="4" t="s">
        <v>24</v>
      </c>
      <c r="B15" s="24">
        <v>8621</v>
      </c>
      <c r="C15" s="25">
        <f>B15/10000</f>
        <v>0.86209999999999998</v>
      </c>
      <c r="D15" s="21">
        <v>194.25</v>
      </c>
      <c r="E15" s="24">
        <v>1794780000</v>
      </c>
      <c r="F15" s="24">
        <v>3187586</v>
      </c>
      <c r="G15" s="16">
        <f>F15/7721404</f>
        <v>0.41282466245776028</v>
      </c>
      <c r="H15" s="23">
        <v>369.5</v>
      </c>
      <c r="I15" s="24">
        <v>1794780000</v>
      </c>
      <c r="J15" s="38"/>
      <c r="K15" s="38"/>
    </row>
    <row r="16" spans="1:13" x14ac:dyDescent="0.25">
      <c r="A16" s="4" t="s">
        <v>25</v>
      </c>
      <c r="B16" s="24">
        <v>7325</v>
      </c>
      <c r="C16" s="25">
        <f t="shared" ref="C16:C19" si="3">B16/10000</f>
        <v>0.73250000000000004</v>
      </c>
      <c r="D16" s="21">
        <v>0.34</v>
      </c>
      <c r="E16" s="24">
        <f>1795033939-E15</f>
        <v>253939</v>
      </c>
      <c r="F16" s="24">
        <v>2984711</v>
      </c>
      <c r="G16" s="16">
        <f t="shared" ref="G16:G19" si="4">F16/7721404</f>
        <v>0.38655029577522432</v>
      </c>
      <c r="H16" s="23">
        <v>249.44</v>
      </c>
      <c r="I16" s="24">
        <f>1882466860-I15</f>
        <v>87686860</v>
      </c>
      <c r="J16" s="38"/>
      <c r="K16" s="38"/>
    </row>
    <row r="17" spans="1:13" x14ac:dyDescent="0.25">
      <c r="A17" s="4" t="s">
        <v>27</v>
      </c>
      <c r="B17" s="24">
        <v>4438</v>
      </c>
      <c r="C17" s="25">
        <f t="shared" si="3"/>
        <v>0.44379999999999997</v>
      </c>
      <c r="D17" s="23">
        <v>0.2</v>
      </c>
      <c r="E17" s="24">
        <f>1795109108-E16-E15</f>
        <v>75169</v>
      </c>
      <c r="F17" s="24">
        <v>2491243</v>
      </c>
      <c r="G17" s="16">
        <f t="shared" si="4"/>
        <v>0.32264119323376939</v>
      </c>
      <c r="H17" s="23">
        <v>2682.42</v>
      </c>
      <c r="I17" s="24">
        <f>2052532980-I16-I15</f>
        <v>170066120</v>
      </c>
      <c r="J17" s="38"/>
      <c r="K17" s="38"/>
      <c r="M17">
        <v>1000</v>
      </c>
    </row>
    <row r="18" spans="1:13" x14ac:dyDescent="0.25">
      <c r="A18" s="4" t="s">
        <v>28</v>
      </c>
      <c r="B18" s="24">
        <v>4433</v>
      </c>
      <c r="C18" s="25">
        <f t="shared" si="3"/>
        <v>0.44330000000000003</v>
      </c>
      <c r="D18" s="21">
        <v>4.8499999999999996</v>
      </c>
      <c r="E18" s="24">
        <f>1799547108-E17-E16-E15</f>
        <v>4438000</v>
      </c>
      <c r="F18" s="24">
        <v>2494473</v>
      </c>
      <c r="G18" s="16">
        <f t="shared" si="4"/>
        <v>0.32305951093868424</v>
      </c>
      <c r="H18" s="23">
        <v>3208.73</v>
      </c>
      <c r="I18" s="24">
        <f>4543775980-I17-I16-I15</f>
        <v>2491243000</v>
      </c>
      <c r="J18" s="38"/>
      <c r="K18" s="38"/>
    </row>
    <row r="19" spans="1:13" x14ac:dyDescent="0.25">
      <c r="A19" s="4" t="s">
        <v>29</v>
      </c>
      <c r="B19" s="24">
        <v>516</v>
      </c>
      <c r="C19" s="25">
        <f t="shared" si="3"/>
        <v>5.16E-2</v>
      </c>
      <c r="D19" s="21">
        <v>278.63</v>
      </c>
      <c r="E19" s="24">
        <f>4018848892-E18-E17-E16-E15</f>
        <v>2219301784</v>
      </c>
      <c r="F19" s="24">
        <v>37467</v>
      </c>
      <c r="G19" s="16">
        <f t="shared" si="4"/>
        <v>4.8523558668863848E-3</v>
      </c>
      <c r="H19" s="23">
        <v>2020.71</v>
      </c>
      <c r="I19" s="24">
        <f>6810807110-I18-I17-I16-I15</f>
        <v>2267031130</v>
      </c>
      <c r="J19" s="42">
        <f>H19*1000</f>
        <v>2020710</v>
      </c>
      <c r="K19" s="43">
        <f>I19*1000</f>
        <v>2267031130000</v>
      </c>
    </row>
    <row r="20" spans="1:13" x14ac:dyDescent="0.25">
      <c r="A20" s="6" t="s">
        <v>30</v>
      </c>
      <c r="B20" s="28">
        <f t="shared" ref="B20:I20" si="5">SUM(B15:B19)</f>
        <v>25333</v>
      </c>
      <c r="C20" s="28">
        <f t="shared" si="5"/>
        <v>2.5333000000000001</v>
      </c>
      <c r="D20" s="29">
        <f t="shared" si="5"/>
        <v>478.27</v>
      </c>
      <c r="E20" s="30">
        <f t="shared" si="5"/>
        <v>4018848892</v>
      </c>
      <c r="F20" s="28">
        <f t="shared" si="5"/>
        <v>11195480</v>
      </c>
      <c r="G20" s="28">
        <f t="shared" si="5"/>
        <v>1.4499280182723246</v>
      </c>
      <c r="H20" s="31">
        <f t="shared" si="5"/>
        <v>8530.7999999999993</v>
      </c>
      <c r="I20" s="30">
        <f t="shared" si="5"/>
        <v>6810807110</v>
      </c>
      <c r="J20" s="39">
        <f>H20-H19+J19</f>
        <v>2027220.09</v>
      </c>
      <c r="K20" s="40">
        <f>I20-I19+K19</f>
        <v>2271574905980</v>
      </c>
    </row>
    <row r="21" spans="1:13" x14ac:dyDescent="0.25">
      <c r="H21" s="44" t="s">
        <v>52</v>
      </c>
      <c r="I21" s="44" t="s">
        <v>52</v>
      </c>
      <c r="J21" s="33"/>
    </row>
    <row r="23" spans="1:13" x14ac:dyDescent="0.25">
      <c r="A23" s="48" t="s">
        <v>46</v>
      </c>
      <c r="B23" s="49" t="s">
        <v>22</v>
      </c>
      <c r="C23" s="49"/>
      <c r="D23" s="49"/>
      <c r="E23" s="49"/>
      <c r="F23" s="49" t="s">
        <v>23</v>
      </c>
      <c r="G23" s="49"/>
      <c r="H23" s="49"/>
      <c r="I23" s="49"/>
    </row>
    <row r="24" spans="1:13" x14ac:dyDescent="0.25">
      <c r="A24" s="48"/>
      <c r="B24" s="49" t="s">
        <v>19</v>
      </c>
      <c r="C24" s="49"/>
      <c r="D24" s="49"/>
      <c r="E24" s="49"/>
      <c r="F24" s="50" t="s">
        <v>21</v>
      </c>
      <c r="G24" s="50"/>
      <c r="H24" s="50"/>
      <c r="I24" s="50"/>
    </row>
    <row r="25" spans="1:13" x14ac:dyDescent="0.25">
      <c r="A25" s="49"/>
      <c r="B25" s="9" t="s">
        <v>32</v>
      </c>
      <c r="C25" s="9" t="s">
        <v>34</v>
      </c>
      <c r="D25" s="9" t="s">
        <v>35</v>
      </c>
      <c r="E25" s="9" t="s">
        <v>33</v>
      </c>
      <c r="F25" s="9" t="s">
        <v>32</v>
      </c>
      <c r="G25" s="9" t="s">
        <v>34</v>
      </c>
      <c r="H25" s="9" t="s">
        <v>35</v>
      </c>
      <c r="I25" s="9" t="s">
        <v>33</v>
      </c>
      <c r="J25" s="41" t="s">
        <v>50</v>
      </c>
      <c r="K25" s="41" t="s">
        <v>50</v>
      </c>
    </row>
    <row r="26" spans="1:13" x14ac:dyDescent="0.25">
      <c r="A26" s="4" t="s">
        <v>24</v>
      </c>
      <c r="B26" s="24">
        <v>8633</v>
      </c>
      <c r="C26" s="25">
        <f>B26/10000</f>
        <v>0.86329999999999996</v>
      </c>
      <c r="D26" s="21">
        <v>408.23</v>
      </c>
      <c r="E26" s="24">
        <v>3589560000</v>
      </c>
      <c r="F26" s="24">
        <v>3797780</v>
      </c>
      <c r="G26" s="16">
        <f>F26/7721404</f>
        <v>0.49185096389205901</v>
      </c>
      <c r="H26" s="23">
        <v>564.45000000000005</v>
      </c>
      <c r="I26" s="24">
        <v>3589560000</v>
      </c>
      <c r="J26" s="38"/>
      <c r="K26" s="38"/>
    </row>
    <row r="27" spans="1:13" x14ac:dyDescent="0.25">
      <c r="A27" s="4" t="s">
        <v>25</v>
      </c>
      <c r="B27" s="24">
        <v>8633</v>
      </c>
      <c r="C27" s="25">
        <f t="shared" ref="C27:C29" si="6">B27/10000</f>
        <v>0.86329999999999996</v>
      </c>
      <c r="D27" s="21">
        <v>0.35</v>
      </c>
      <c r="E27" s="24">
        <f>3589907482-E26</f>
        <v>347482</v>
      </c>
      <c r="F27" s="24">
        <v>3707280</v>
      </c>
      <c r="G27" s="16">
        <f t="shared" ref="G27:G30" si="7">F27/7721404</f>
        <v>0.48013029754692282</v>
      </c>
      <c r="H27" s="23">
        <v>249.99</v>
      </c>
      <c r="I27" s="24">
        <f>3738646942-I26</f>
        <v>149086942</v>
      </c>
      <c r="J27" s="38"/>
      <c r="K27" s="38"/>
      <c r="M27">
        <v>2000</v>
      </c>
    </row>
    <row r="28" spans="1:13" x14ac:dyDescent="0.25">
      <c r="A28" s="4" t="s">
        <v>27</v>
      </c>
      <c r="B28" s="24">
        <v>8633</v>
      </c>
      <c r="C28" s="25">
        <f t="shared" si="6"/>
        <v>0.86329999999999996</v>
      </c>
      <c r="D28" s="23">
        <v>0.2</v>
      </c>
      <c r="E28" s="24">
        <f>3589949405-E27-E26</f>
        <v>41923</v>
      </c>
      <c r="F28" s="24">
        <v>3221664</v>
      </c>
      <c r="G28" s="16">
        <f t="shared" si="7"/>
        <v>0.41723810850979953</v>
      </c>
      <c r="H28" s="23">
        <v>5644.44</v>
      </c>
      <c r="I28" s="24">
        <f>4131354784-I27-I26</f>
        <v>392707842</v>
      </c>
      <c r="J28" s="38"/>
      <c r="K28" s="38"/>
    </row>
    <row r="29" spans="1:13" x14ac:dyDescent="0.25">
      <c r="A29" s="4" t="s">
        <v>28</v>
      </c>
      <c r="B29" s="24">
        <v>8626</v>
      </c>
      <c r="C29" s="25">
        <f t="shared" si="6"/>
        <v>0.86260000000000003</v>
      </c>
      <c r="D29" s="21">
        <v>9.9499999999999993</v>
      </c>
      <c r="E29" s="24">
        <f>3598582405-E28-E27-E26</f>
        <v>8633000</v>
      </c>
      <c r="F29" s="24">
        <v>3224981</v>
      </c>
      <c r="G29" s="16">
        <f t="shared" si="7"/>
        <v>0.41766769359562067</v>
      </c>
      <c r="H29" s="23">
        <v>4136.8500000000004</v>
      </c>
      <c r="I29" s="24">
        <f>7353018784-I28-I27-I26</f>
        <v>3221664000</v>
      </c>
      <c r="J29" s="38"/>
      <c r="K29" s="38"/>
    </row>
    <row r="30" spans="1:13" x14ac:dyDescent="0.25">
      <c r="A30" s="4" t="s">
        <v>29</v>
      </c>
      <c r="B30" s="24">
        <v>2584</v>
      </c>
      <c r="C30" s="25">
        <f>B30/10000</f>
        <v>0.25840000000000002</v>
      </c>
      <c r="D30" s="23">
        <v>1133.6400000000001</v>
      </c>
      <c r="E30" s="24">
        <f>12231720533-E29-E28-E27-E26</f>
        <v>8633138128</v>
      </c>
      <c r="F30" s="24">
        <v>71095</v>
      </c>
      <c r="G30" s="16">
        <f t="shared" si="7"/>
        <v>9.2075223625133467E-3</v>
      </c>
      <c r="H30" s="23">
        <v>4944.42</v>
      </c>
      <c r="I30" s="24">
        <f>13155235648-I29-I28-I27-I26</f>
        <v>5802216864</v>
      </c>
      <c r="J30" s="42">
        <f>H30*2000</f>
        <v>9888840</v>
      </c>
      <c r="K30" s="43">
        <f>I30*2000</f>
        <v>11604433728000</v>
      </c>
    </row>
    <row r="31" spans="1:13" x14ac:dyDescent="0.25">
      <c r="A31" s="6" t="s">
        <v>30</v>
      </c>
      <c r="B31" s="28">
        <f t="shared" ref="B31:I31" si="8">SUM(B26:B30)</f>
        <v>37109</v>
      </c>
      <c r="C31" s="28">
        <f t="shared" si="8"/>
        <v>3.7109000000000001</v>
      </c>
      <c r="D31" s="31">
        <f t="shared" si="8"/>
        <v>1552.3700000000001</v>
      </c>
      <c r="E31" s="30">
        <f t="shared" si="8"/>
        <v>12231720533</v>
      </c>
      <c r="F31" s="28">
        <f t="shared" si="8"/>
        <v>14022800</v>
      </c>
      <c r="G31" s="28">
        <f t="shared" si="8"/>
        <v>1.8160945859069155</v>
      </c>
      <c r="H31" s="31">
        <f t="shared" si="8"/>
        <v>15540.15</v>
      </c>
      <c r="I31" s="30">
        <f t="shared" si="8"/>
        <v>13155235648</v>
      </c>
      <c r="J31" s="39">
        <f>H31-H30+J30</f>
        <v>9899435.7300000004</v>
      </c>
      <c r="K31" s="40">
        <f>I31-I30+K30</f>
        <v>11611786746784</v>
      </c>
    </row>
    <row r="32" spans="1:13" x14ac:dyDescent="0.25">
      <c r="H32" s="44" t="s">
        <v>53</v>
      </c>
      <c r="I32" s="44" t="s">
        <v>53</v>
      </c>
    </row>
    <row r="33" spans="2:2" x14ac:dyDescent="0.25">
      <c r="B33" t="s">
        <v>45</v>
      </c>
    </row>
  </sheetData>
  <mergeCells count="15">
    <mergeCell ref="A1:A3"/>
    <mergeCell ref="B1:E1"/>
    <mergeCell ref="F1:I1"/>
    <mergeCell ref="B2:E2"/>
    <mergeCell ref="F2:I2"/>
    <mergeCell ref="A12:A14"/>
    <mergeCell ref="B12:E12"/>
    <mergeCell ref="F12:I12"/>
    <mergeCell ref="B13:E13"/>
    <mergeCell ref="F13:I13"/>
    <mergeCell ref="A23:A25"/>
    <mergeCell ref="B23:E23"/>
    <mergeCell ref="F23:I23"/>
    <mergeCell ref="B24:E24"/>
    <mergeCell ref="F24:I24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6DBC-DF8D-406A-851F-9909E498D4BC}">
  <dimension ref="A1:M33"/>
  <sheetViews>
    <sheetView topLeftCell="A19" workbookViewId="0">
      <selection activeCell="F2" sqref="F2:I2"/>
    </sheetView>
  </sheetViews>
  <sheetFormatPr baseColWidth="10" defaultRowHeight="15" x14ac:dyDescent="0.25"/>
  <cols>
    <col min="5" max="5" width="13.5703125" customWidth="1"/>
    <col min="8" max="8" width="13.5703125" customWidth="1"/>
    <col min="9" max="9" width="14.7109375" customWidth="1"/>
    <col min="10" max="10" width="12.7109375" customWidth="1"/>
    <col min="11" max="11" width="17.5703125" customWidth="1"/>
    <col min="17" max="17" width="12" bestFit="1" customWidth="1"/>
  </cols>
  <sheetData>
    <row r="1" spans="1:13" x14ac:dyDescent="0.25">
      <c r="A1" s="48" t="s">
        <v>46</v>
      </c>
      <c r="B1" s="49" t="s">
        <v>22</v>
      </c>
      <c r="C1" s="49"/>
      <c r="D1" s="49"/>
      <c r="E1" s="49"/>
      <c r="F1" s="49" t="s">
        <v>23</v>
      </c>
      <c r="G1" s="49"/>
      <c r="H1" s="49"/>
      <c r="I1" s="49"/>
    </row>
    <row r="2" spans="1:13" s="1" customFormat="1" x14ac:dyDescent="0.25">
      <c r="A2" s="48"/>
      <c r="B2" s="49" t="s">
        <v>18</v>
      </c>
      <c r="C2" s="49"/>
      <c r="D2" s="49"/>
      <c r="E2" s="49"/>
      <c r="F2" s="50" t="s">
        <v>21</v>
      </c>
      <c r="G2" s="50"/>
      <c r="H2" s="50"/>
      <c r="I2" s="50"/>
    </row>
    <row r="3" spans="1:13" s="3" customFormat="1" x14ac:dyDescent="0.25">
      <c r="A3" s="49"/>
      <c r="B3" s="9" t="s">
        <v>32</v>
      </c>
      <c r="C3" s="9" t="s">
        <v>34</v>
      </c>
      <c r="D3" s="9" t="s">
        <v>35</v>
      </c>
      <c r="E3" s="9" t="s">
        <v>33</v>
      </c>
      <c r="F3" s="9" t="s">
        <v>32</v>
      </c>
      <c r="G3" s="9" t="s">
        <v>34</v>
      </c>
      <c r="H3" s="9" t="s">
        <v>35</v>
      </c>
      <c r="I3" s="9" t="s">
        <v>33</v>
      </c>
      <c r="J3" s="41" t="s">
        <v>50</v>
      </c>
      <c r="K3" s="41" t="s">
        <v>50</v>
      </c>
    </row>
    <row r="4" spans="1:13" x14ac:dyDescent="0.25">
      <c r="A4" s="4" t="s">
        <v>24</v>
      </c>
      <c r="B4" s="24">
        <v>8617</v>
      </c>
      <c r="C4" s="25">
        <f>B4/10000</f>
        <v>0.86170000000000002</v>
      </c>
      <c r="D4" s="21">
        <v>50.24</v>
      </c>
      <c r="E4" s="24">
        <v>897390000</v>
      </c>
      <c r="F4" s="24">
        <v>2588037</v>
      </c>
      <c r="G4" s="16">
        <f>F4/7721404</f>
        <v>0.33517699630792536</v>
      </c>
      <c r="H4" s="23">
        <v>345.08</v>
      </c>
      <c r="I4" s="24">
        <v>897390000</v>
      </c>
      <c r="J4" s="38"/>
      <c r="K4" s="38"/>
    </row>
    <row r="5" spans="1:13" x14ac:dyDescent="0.25">
      <c r="A5" s="4" t="s">
        <v>26</v>
      </c>
      <c r="B5" s="24">
        <v>8614</v>
      </c>
      <c r="C5" s="25">
        <f t="shared" ref="C5:C8" si="0">B5/10000</f>
        <v>0.86140000000000005</v>
      </c>
      <c r="D5" s="21">
        <v>11.79</v>
      </c>
      <c r="E5" s="24">
        <f>903215092-E4</f>
        <v>5825092</v>
      </c>
      <c r="F5" s="24">
        <v>2645531</v>
      </c>
      <c r="G5" s="16">
        <f t="shared" ref="G5:G8" si="1">F5/7721404</f>
        <v>0.34262305145540889</v>
      </c>
      <c r="H5" s="23">
        <v>4804.51</v>
      </c>
      <c r="I5" s="24">
        <f>2646903012-I4</f>
        <v>1749513012</v>
      </c>
      <c r="J5" s="38"/>
      <c r="K5" s="38"/>
      <c r="M5">
        <v>500</v>
      </c>
    </row>
    <row r="6" spans="1:13" x14ac:dyDescent="0.25">
      <c r="A6" s="4" t="s">
        <v>27</v>
      </c>
      <c r="B6" s="24">
        <v>2246</v>
      </c>
      <c r="C6" s="25">
        <f t="shared" si="0"/>
        <v>0.22459999999999999</v>
      </c>
      <c r="D6" s="21">
        <v>0.06</v>
      </c>
      <c r="E6" s="24">
        <f>903240410-E5-E4</f>
        <v>25318</v>
      </c>
      <c r="F6" s="24">
        <v>1756706</v>
      </c>
      <c r="G6" s="16">
        <f t="shared" si="1"/>
        <v>0.22751121428175497</v>
      </c>
      <c r="H6" s="23">
        <v>27.15</v>
      </c>
      <c r="I6" s="24">
        <f>2653459875-I5-I4</f>
        <v>6556863</v>
      </c>
      <c r="J6" s="38"/>
      <c r="K6" s="38"/>
    </row>
    <row r="7" spans="1:13" x14ac:dyDescent="0.25">
      <c r="A7" s="4" t="s">
        <v>28</v>
      </c>
      <c r="B7" s="24">
        <v>2245</v>
      </c>
      <c r="C7" s="25">
        <f t="shared" si="0"/>
        <v>0.22450000000000001</v>
      </c>
      <c r="D7" s="21">
        <v>2.12</v>
      </c>
      <c r="E7" s="24">
        <f>905486410-E6-E5-E4</f>
        <v>2246000</v>
      </c>
      <c r="F7" s="24">
        <v>1759770</v>
      </c>
      <c r="G7" s="16">
        <f t="shared" si="1"/>
        <v>0.22790803330585993</v>
      </c>
      <c r="H7" s="23">
        <v>2478.38</v>
      </c>
      <c r="I7" s="24">
        <f>4410165875-I6-I5-I4</f>
        <v>1756706000</v>
      </c>
      <c r="J7" s="38"/>
      <c r="K7" s="38"/>
    </row>
    <row r="8" spans="1:13" x14ac:dyDescent="0.25">
      <c r="A8" s="4" t="s">
        <v>29</v>
      </c>
      <c r="B8" s="24">
        <v>162</v>
      </c>
      <c r="C8" s="25">
        <f t="shared" si="0"/>
        <v>1.6199999999999999E-2</v>
      </c>
      <c r="D8" s="21">
        <v>37.97</v>
      </c>
      <c r="E8" s="24">
        <f>1467058282-E7-E6-E4-E5</f>
        <v>561571872</v>
      </c>
      <c r="F8" s="24">
        <v>16345</v>
      </c>
      <c r="G8" s="16">
        <f t="shared" si="1"/>
        <v>2.1168429990193493E-3</v>
      </c>
      <c r="H8" s="23">
        <v>888.2</v>
      </c>
      <c r="I8" s="24">
        <f>5232304283-I7-I6-I5-I4</f>
        <v>822138408</v>
      </c>
      <c r="J8" s="42">
        <f>H8*500</f>
        <v>444100</v>
      </c>
      <c r="K8" s="43">
        <f>I8*500</f>
        <v>411069204000</v>
      </c>
    </row>
    <row r="9" spans="1:13" x14ac:dyDescent="0.25">
      <c r="A9" s="6" t="s">
        <v>30</v>
      </c>
      <c r="B9" s="28">
        <f t="shared" ref="B9:I9" si="2">SUM(B4:B8)</f>
        <v>21884</v>
      </c>
      <c r="C9" s="28">
        <f t="shared" si="2"/>
        <v>2.1884000000000001</v>
      </c>
      <c r="D9" s="29">
        <f t="shared" si="2"/>
        <v>102.18</v>
      </c>
      <c r="E9" s="30">
        <f t="shared" si="2"/>
        <v>1467058282</v>
      </c>
      <c r="F9" s="28">
        <f t="shared" si="2"/>
        <v>8766389</v>
      </c>
      <c r="G9" s="28">
        <f t="shared" si="2"/>
        <v>1.1353361383499683</v>
      </c>
      <c r="H9" s="31">
        <f t="shared" si="2"/>
        <v>8543.32</v>
      </c>
      <c r="I9" s="30">
        <f t="shared" si="2"/>
        <v>5232304283</v>
      </c>
      <c r="J9" s="39">
        <f>H9-H8+J8</f>
        <v>451755.12</v>
      </c>
      <c r="K9" s="40">
        <f>I9-I8+K8</f>
        <v>415479369875</v>
      </c>
    </row>
    <row r="10" spans="1:13" x14ac:dyDescent="0.25">
      <c r="H10" s="44" t="s">
        <v>51</v>
      </c>
      <c r="I10" s="44" t="s">
        <v>51</v>
      </c>
    </row>
    <row r="12" spans="1:13" x14ac:dyDescent="0.25">
      <c r="A12" s="48" t="s">
        <v>46</v>
      </c>
      <c r="B12" s="49" t="s">
        <v>22</v>
      </c>
      <c r="C12" s="49"/>
      <c r="D12" s="49"/>
      <c r="E12" s="49"/>
      <c r="F12" s="49" t="s">
        <v>23</v>
      </c>
      <c r="G12" s="49"/>
      <c r="H12" s="49"/>
      <c r="I12" s="49"/>
    </row>
    <row r="13" spans="1:13" x14ac:dyDescent="0.25">
      <c r="A13" s="48"/>
      <c r="B13" s="49" t="s">
        <v>18</v>
      </c>
      <c r="C13" s="49"/>
      <c r="D13" s="49"/>
      <c r="E13" s="49"/>
      <c r="F13" s="50" t="s">
        <v>21</v>
      </c>
      <c r="G13" s="50"/>
      <c r="H13" s="50"/>
      <c r="I13" s="50"/>
    </row>
    <row r="14" spans="1:13" x14ac:dyDescent="0.25">
      <c r="A14" s="49"/>
      <c r="B14" s="9" t="s">
        <v>32</v>
      </c>
      <c r="C14" s="9" t="s">
        <v>34</v>
      </c>
      <c r="D14" s="9" t="s">
        <v>35</v>
      </c>
      <c r="E14" s="9" t="s">
        <v>33</v>
      </c>
      <c r="F14" s="9" t="s">
        <v>32</v>
      </c>
      <c r="G14" s="9" t="s">
        <v>34</v>
      </c>
      <c r="H14" s="9" t="s">
        <v>35</v>
      </c>
      <c r="I14" s="9" t="s">
        <v>33</v>
      </c>
      <c r="J14" s="41" t="s">
        <v>50</v>
      </c>
      <c r="K14" s="41" t="s">
        <v>50</v>
      </c>
    </row>
    <row r="15" spans="1:13" x14ac:dyDescent="0.25">
      <c r="A15" s="4" t="s">
        <v>24</v>
      </c>
      <c r="B15" s="24">
        <v>8621</v>
      </c>
      <c r="C15" s="25">
        <f>B15/10000</f>
        <v>0.86209999999999998</v>
      </c>
      <c r="D15" s="21">
        <v>102.69</v>
      </c>
      <c r="E15" s="24">
        <v>1794780000</v>
      </c>
      <c r="F15" s="24">
        <v>3187586</v>
      </c>
      <c r="G15" s="16">
        <f>F15/7721404</f>
        <v>0.41282466245776028</v>
      </c>
      <c r="H15" s="23">
        <v>364.78</v>
      </c>
      <c r="I15" s="24">
        <v>1794780000</v>
      </c>
      <c r="J15" s="38"/>
      <c r="K15" s="38"/>
    </row>
    <row r="16" spans="1:13" x14ac:dyDescent="0.25">
      <c r="A16" s="4" t="s">
        <v>26</v>
      </c>
      <c r="B16" s="24">
        <v>8618</v>
      </c>
      <c r="C16" s="25">
        <f t="shared" ref="C16:C19" si="3">B16/10000</f>
        <v>0.86180000000000001</v>
      </c>
      <c r="D16" s="21">
        <v>11.33</v>
      </c>
      <c r="E16" s="24">
        <f>1800607796-E15</f>
        <v>5827796</v>
      </c>
      <c r="F16" s="24">
        <v>3245957</v>
      </c>
      <c r="G16" s="16">
        <f t="shared" ref="G16:G19" si="4">F16/7721404</f>
        <v>0.42038429798518506</v>
      </c>
      <c r="H16" s="23">
        <v>5512.91</v>
      </c>
      <c r="I16" s="24">
        <f>3949588136-I15</f>
        <v>2154808136</v>
      </c>
      <c r="J16" s="38"/>
      <c r="K16" s="38"/>
    </row>
    <row r="17" spans="1:13" x14ac:dyDescent="0.25">
      <c r="A17" s="4" t="s">
        <v>27</v>
      </c>
      <c r="B17" s="24">
        <v>4438</v>
      </c>
      <c r="C17" s="25">
        <f t="shared" si="3"/>
        <v>0.44379999999999997</v>
      </c>
      <c r="D17" s="32">
        <v>0.1</v>
      </c>
      <c r="E17" s="24">
        <f>1800656404-E16-E15</f>
        <v>48608</v>
      </c>
      <c r="F17" s="24">
        <v>2489725</v>
      </c>
      <c r="G17" s="16">
        <f t="shared" si="4"/>
        <v>0.32244459686347199</v>
      </c>
      <c r="H17" s="23">
        <v>45.38</v>
      </c>
      <c r="I17" s="24">
        <f>3963536608-I16-I15</f>
        <v>13948472</v>
      </c>
      <c r="J17" s="38"/>
      <c r="K17" s="38"/>
      <c r="M17">
        <v>1000</v>
      </c>
    </row>
    <row r="18" spans="1:13" x14ac:dyDescent="0.25">
      <c r="A18" s="4" t="s">
        <v>28</v>
      </c>
      <c r="B18" s="24">
        <v>4433</v>
      </c>
      <c r="C18" s="25">
        <f t="shared" si="3"/>
        <v>0.44330000000000003</v>
      </c>
      <c r="D18" s="21">
        <v>4.08</v>
      </c>
      <c r="E18" s="24">
        <f>1805094404-E17-E16-E15</f>
        <v>4438000</v>
      </c>
      <c r="F18" s="24">
        <v>2492954</v>
      </c>
      <c r="G18" s="16">
        <f t="shared" si="4"/>
        <v>0.32286278505826144</v>
      </c>
      <c r="H18" s="23">
        <v>3178.5</v>
      </c>
      <c r="I18" s="24">
        <f>6453261608-I17-I16-I15</f>
        <v>2489725000</v>
      </c>
      <c r="J18" s="38"/>
      <c r="K18" s="38"/>
    </row>
    <row r="19" spans="1:13" x14ac:dyDescent="0.25">
      <c r="A19" s="4" t="s">
        <v>29</v>
      </c>
      <c r="B19" s="24">
        <v>516</v>
      </c>
      <c r="C19" s="25">
        <f t="shared" si="3"/>
        <v>5.16E-2</v>
      </c>
      <c r="D19" s="21">
        <v>139.62</v>
      </c>
      <c r="E19" s="24">
        <f>4024396188-E18-E17-E16-E15</f>
        <v>2219301784</v>
      </c>
      <c r="F19" s="24">
        <v>37405</v>
      </c>
      <c r="G19" s="16">
        <f t="shared" si="4"/>
        <v>4.8443262391140267E-3</v>
      </c>
      <c r="H19" s="23">
        <v>2145.65</v>
      </c>
      <c r="I19" s="24">
        <f>8718911358-I18-I17-I16-I15</f>
        <v>2265649750</v>
      </c>
      <c r="J19" s="42">
        <f>H19*1000</f>
        <v>2145650</v>
      </c>
      <c r="K19" s="43">
        <f>I19*1000</f>
        <v>2265649750000</v>
      </c>
    </row>
    <row r="20" spans="1:13" x14ac:dyDescent="0.25">
      <c r="A20" s="6" t="s">
        <v>30</v>
      </c>
      <c r="B20" s="28">
        <f t="shared" ref="B20:I20" si="5">SUM(B15:B19)</f>
        <v>26626</v>
      </c>
      <c r="C20" s="28">
        <f t="shared" si="5"/>
        <v>2.6625999999999999</v>
      </c>
      <c r="D20" s="29">
        <f t="shared" si="5"/>
        <v>257.82</v>
      </c>
      <c r="E20" s="30">
        <f t="shared" si="5"/>
        <v>4024396188</v>
      </c>
      <c r="F20" s="28">
        <f t="shared" si="5"/>
        <v>11453627</v>
      </c>
      <c r="G20" s="28">
        <f t="shared" si="5"/>
        <v>1.4833606686037928</v>
      </c>
      <c r="H20" s="31">
        <f t="shared" si="5"/>
        <v>11247.22</v>
      </c>
      <c r="I20" s="30">
        <f t="shared" si="5"/>
        <v>8718911358</v>
      </c>
      <c r="J20" s="39">
        <f>H20-H19+J19</f>
        <v>2154751.5699999998</v>
      </c>
      <c r="K20" s="40">
        <f>I20-I19+K19</f>
        <v>2272103011608</v>
      </c>
    </row>
    <row r="21" spans="1:13" x14ac:dyDescent="0.25">
      <c r="H21" s="44" t="s">
        <v>52</v>
      </c>
      <c r="I21" s="44" t="s">
        <v>52</v>
      </c>
    </row>
    <row r="23" spans="1:13" x14ac:dyDescent="0.25">
      <c r="A23" s="48" t="s">
        <v>46</v>
      </c>
      <c r="B23" s="49" t="s">
        <v>22</v>
      </c>
      <c r="C23" s="49"/>
      <c r="D23" s="49"/>
      <c r="E23" s="49"/>
      <c r="F23" s="49" t="s">
        <v>23</v>
      </c>
      <c r="G23" s="49"/>
      <c r="H23" s="49"/>
      <c r="I23" s="49"/>
    </row>
    <row r="24" spans="1:13" x14ac:dyDescent="0.25">
      <c r="A24" s="48"/>
      <c r="B24" s="49" t="s">
        <v>19</v>
      </c>
      <c r="C24" s="49"/>
      <c r="D24" s="49"/>
      <c r="E24" s="49"/>
      <c r="F24" s="50" t="s">
        <v>21</v>
      </c>
      <c r="G24" s="50"/>
      <c r="H24" s="50"/>
      <c r="I24" s="50"/>
    </row>
    <row r="25" spans="1:13" x14ac:dyDescent="0.25">
      <c r="A25" s="49"/>
      <c r="B25" s="9" t="s">
        <v>32</v>
      </c>
      <c r="C25" s="9" t="s">
        <v>34</v>
      </c>
      <c r="D25" s="9" t="s">
        <v>35</v>
      </c>
      <c r="E25" s="9" t="s">
        <v>33</v>
      </c>
      <c r="F25" s="9" t="s">
        <v>32</v>
      </c>
      <c r="G25" s="9" t="s">
        <v>34</v>
      </c>
      <c r="H25" s="9" t="s">
        <v>35</v>
      </c>
      <c r="I25" s="9" t="s">
        <v>33</v>
      </c>
      <c r="J25" s="41" t="s">
        <v>50</v>
      </c>
      <c r="K25" s="41" t="s">
        <v>50</v>
      </c>
    </row>
    <row r="26" spans="1:13" x14ac:dyDescent="0.25">
      <c r="A26" s="4" t="s">
        <v>24</v>
      </c>
      <c r="B26" s="24">
        <v>8633</v>
      </c>
      <c r="C26" s="25">
        <f>B26/10000</f>
        <v>0.86329999999999996</v>
      </c>
      <c r="D26" s="21">
        <v>184.61</v>
      </c>
      <c r="E26" s="24">
        <v>3589560000</v>
      </c>
      <c r="F26" s="24">
        <v>3797780</v>
      </c>
      <c r="G26" s="16">
        <f>F26/7721404</f>
        <v>0.49185096389205901</v>
      </c>
      <c r="H26" s="23">
        <v>560.19000000000005</v>
      </c>
      <c r="I26" s="24">
        <v>3589560000</v>
      </c>
      <c r="J26" s="38"/>
      <c r="K26" s="38"/>
    </row>
    <row r="27" spans="1:13" x14ac:dyDescent="0.25">
      <c r="A27" s="4" t="s">
        <v>26</v>
      </c>
      <c r="B27" s="24">
        <v>8633</v>
      </c>
      <c r="C27" s="25">
        <f t="shared" ref="C27:C29" si="6">B27/10000</f>
        <v>0.86329999999999996</v>
      </c>
      <c r="D27" s="21">
        <v>11.21</v>
      </c>
      <c r="E27" s="24">
        <f>3595395908-E26</f>
        <v>5835908</v>
      </c>
      <c r="F27" s="24">
        <v>3856312</v>
      </c>
      <c r="G27" s="16">
        <f t="shared" ref="G27:G30" si="7">F27/7721404</f>
        <v>0.49943145054966687</v>
      </c>
      <c r="H27" s="23">
        <v>6378.37</v>
      </c>
      <c r="I27" s="24">
        <f>6156859280-I26</f>
        <v>2567299280</v>
      </c>
      <c r="J27" s="38"/>
      <c r="K27" s="38"/>
      <c r="M27">
        <v>2000</v>
      </c>
    </row>
    <row r="28" spans="1:13" x14ac:dyDescent="0.25">
      <c r="A28" s="4" t="s">
        <v>27</v>
      </c>
      <c r="B28" s="24">
        <v>8633</v>
      </c>
      <c r="C28" s="25">
        <f t="shared" si="6"/>
        <v>0.86329999999999996</v>
      </c>
      <c r="D28" s="21">
        <v>0.17</v>
      </c>
      <c r="E28" s="24">
        <f>3595492236-E27-E26</f>
        <v>96328</v>
      </c>
      <c r="F28" s="24">
        <v>3219430</v>
      </c>
      <c r="G28" s="16">
        <f t="shared" si="7"/>
        <v>0.41694878288974391</v>
      </c>
      <c r="H28" s="23">
        <v>78.14</v>
      </c>
      <c r="I28" s="24">
        <f>6188248657-I27-I26</f>
        <v>31389377</v>
      </c>
      <c r="J28" s="38"/>
      <c r="K28" s="38"/>
    </row>
    <row r="29" spans="1:13" x14ac:dyDescent="0.25">
      <c r="A29" s="4" t="s">
        <v>28</v>
      </c>
      <c r="B29" s="24">
        <v>8623</v>
      </c>
      <c r="C29" s="25">
        <f t="shared" si="6"/>
        <v>0.86229999999999996</v>
      </c>
      <c r="D29" s="21">
        <v>7.99</v>
      </c>
      <c r="E29" s="24">
        <f>3604122236-E28-E27-E26</f>
        <v>8630000</v>
      </c>
      <c r="F29" s="24">
        <v>3222746</v>
      </c>
      <c r="G29" s="16">
        <f t="shared" si="7"/>
        <v>0.4173782384654397</v>
      </c>
      <c r="H29" s="23">
        <v>4089.29</v>
      </c>
      <c r="I29" s="24">
        <f>9407678657-I28-I27-I26</f>
        <v>3219430000</v>
      </c>
      <c r="J29" s="38"/>
      <c r="K29" s="38"/>
    </row>
    <row r="30" spans="1:13" x14ac:dyDescent="0.25">
      <c r="A30" s="4" t="s">
        <v>29</v>
      </c>
      <c r="B30" s="24">
        <v>2584</v>
      </c>
      <c r="C30" s="25">
        <f>B30/10000</f>
        <v>0.25840000000000002</v>
      </c>
      <c r="D30" s="23">
        <v>514.29999999999995</v>
      </c>
      <c r="E30" s="24">
        <f>12234260316-E29-E28-E27-E26</f>
        <v>8630138080</v>
      </c>
      <c r="F30" s="24">
        <v>70965</v>
      </c>
      <c r="G30" s="16">
        <f t="shared" si="7"/>
        <v>9.1906860462164647E-3</v>
      </c>
      <c r="H30" s="23">
        <v>5245.25</v>
      </c>
      <c r="I30" s="24">
        <f>15205872087-I29-I28-I27-I26</f>
        <v>5798193430</v>
      </c>
      <c r="J30" s="42">
        <f>H30*2000</f>
        <v>10490500</v>
      </c>
      <c r="K30" s="43">
        <f>I30*2000</f>
        <v>11596386860000</v>
      </c>
    </row>
    <row r="31" spans="1:13" x14ac:dyDescent="0.25">
      <c r="A31" s="6" t="s">
        <v>30</v>
      </c>
      <c r="B31" s="28">
        <f t="shared" ref="B31:I31" si="8">SUM(B26:B30)</f>
        <v>37106</v>
      </c>
      <c r="C31" s="28">
        <f t="shared" si="8"/>
        <v>3.7105999999999999</v>
      </c>
      <c r="D31" s="29">
        <f t="shared" si="8"/>
        <v>718.28</v>
      </c>
      <c r="E31" s="30">
        <f t="shared" si="8"/>
        <v>12234260316</v>
      </c>
      <c r="F31" s="28">
        <f t="shared" si="8"/>
        <v>14167233</v>
      </c>
      <c r="G31" s="28">
        <f t="shared" si="8"/>
        <v>1.8348001218431258</v>
      </c>
      <c r="H31" s="31">
        <f t="shared" si="8"/>
        <v>16351.24</v>
      </c>
      <c r="I31" s="30">
        <f t="shared" si="8"/>
        <v>15205872087</v>
      </c>
      <c r="J31" s="39">
        <f>H31-H30+J30</f>
        <v>10501605.99</v>
      </c>
      <c r="K31" s="40">
        <f>I31-I30+K30</f>
        <v>11605794538657</v>
      </c>
    </row>
    <row r="32" spans="1:13" x14ac:dyDescent="0.25">
      <c r="H32" s="44" t="s">
        <v>53</v>
      </c>
      <c r="I32" s="44" t="s">
        <v>53</v>
      </c>
    </row>
    <row r="33" spans="2:2" x14ac:dyDescent="0.25">
      <c r="B33" t="s">
        <v>45</v>
      </c>
    </row>
  </sheetData>
  <mergeCells count="15">
    <mergeCell ref="A1:A3"/>
    <mergeCell ref="B1:E1"/>
    <mergeCell ref="F1:I1"/>
    <mergeCell ref="B2:E2"/>
    <mergeCell ref="F2:I2"/>
    <mergeCell ref="A12:A14"/>
    <mergeCell ref="B12:E12"/>
    <mergeCell ref="F12:I12"/>
    <mergeCell ref="B13:E13"/>
    <mergeCell ref="F13:I13"/>
    <mergeCell ref="A23:A25"/>
    <mergeCell ref="B23:E23"/>
    <mergeCell ref="F23:I23"/>
    <mergeCell ref="B24:E24"/>
    <mergeCell ref="F24:I24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2733-ABB7-485A-9458-633F2655D0F1}">
  <dimension ref="A1:M41"/>
  <sheetViews>
    <sheetView topLeftCell="A16" workbookViewId="0">
      <selection activeCell="E37" sqref="E37:E42"/>
    </sheetView>
  </sheetViews>
  <sheetFormatPr baseColWidth="10" defaultRowHeight="15" x14ac:dyDescent="0.25"/>
  <cols>
    <col min="5" max="5" width="13.42578125" customWidth="1"/>
    <col min="8" max="9" width="13.85546875" customWidth="1"/>
    <col min="10" max="10" width="12.5703125" customWidth="1"/>
    <col min="11" max="11" width="17.28515625" customWidth="1"/>
    <col min="17" max="17" width="12" bestFit="1" customWidth="1"/>
  </cols>
  <sheetData>
    <row r="1" spans="1:13" x14ac:dyDescent="0.25">
      <c r="A1" s="48" t="s">
        <v>46</v>
      </c>
      <c r="B1" s="49" t="s">
        <v>22</v>
      </c>
      <c r="C1" s="49"/>
      <c r="D1" s="49"/>
      <c r="E1" s="49"/>
      <c r="F1" s="49" t="s">
        <v>23</v>
      </c>
      <c r="G1" s="49"/>
      <c r="H1" s="49"/>
      <c r="I1" s="49"/>
    </row>
    <row r="2" spans="1:13" s="1" customFormat="1" x14ac:dyDescent="0.25">
      <c r="A2" s="48"/>
      <c r="B2" s="49" t="s">
        <v>18</v>
      </c>
      <c r="C2" s="49"/>
      <c r="D2" s="49"/>
      <c r="E2" s="49"/>
      <c r="F2" s="50" t="s">
        <v>21</v>
      </c>
      <c r="G2" s="50"/>
      <c r="H2" s="50"/>
      <c r="I2" s="50"/>
    </row>
    <row r="3" spans="1:13" s="3" customFormat="1" x14ac:dyDescent="0.25">
      <c r="A3" s="49"/>
      <c r="B3" s="9" t="s">
        <v>32</v>
      </c>
      <c r="C3" s="9" t="s">
        <v>34</v>
      </c>
      <c r="D3" s="9" t="s">
        <v>35</v>
      </c>
      <c r="E3" s="9" t="s">
        <v>33</v>
      </c>
      <c r="F3" s="9" t="s">
        <v>32</v>
      </c>
      <c r="G3" s="9" t="s">
        <v>34</v>
      </c>
      <c r="H3" s="9" t="s">
        <v>35</v>
      </c>
      <c r="I3" s="9" t="s">
        <v>33</v>
      </c>
      <c r="J3" s="41" t="s">
        <v>50</v>
      </c>
      <c r="K3" s="41" t="s">
        <v>50</v>
      </c>
    </row>
    <row r="4" spans="1:13" x14ac:dyDescent="0.25">
      <c r="A4" s="4" t="s">
        <v>25</v>
      </c>
      <c r="B4" s="15">
        <v>5864</v>
      </c>
      <c r="C4" s="16">
        <f>B4/10000</f>
        <v>0.58640000000000003</v>
      </c>
      <c r="D4" s="17">
        <v>891.74</v>
      </c>
      <c r="E4" s="15">
        <v>8333715780</v>
      </c>
      <c r="F4" s="15">
        <v>3393920</v>
      </c>
      <c r="G4" s="16">
        <f>F4/7721404</f>
        <v>0.43954700466391866</v>
      </c>
      <c r="H4" s="17">
        <v>1108.28</v>
      </c>
      <c r="I4" s="15">
        <v>7688837520</v>
      </c>
      <c r="J4" s="38"/>
      <c r="K4" s="38"/>
    </row>
    <row r="5" spans="1:13" x14ac:dyDescent="0.25">
      <c r="A5" s="4" t="s">
        <v>24</v>
      </c>
      <c r="B5" s="15">
        <v>5373</v>
      </c>
      <c r="C5" s="16">
        <f t="shared" ref="C5:C9" si="0">B5/10000</f>
        <v>0.5373</v>
      </c>
      <c r="D5" s="17">
        <v>0.06</v>
      </c>
      <c r="E5" s="15">
        <f>8333726341-E4</f>
        <v>10561</v>
      </c>
      <c r="F5" s="15">
        <v>2155499</v>
      </c>
      <c r="G5" s="16">
        <f t="shared" ref="G5:G8" si="1">F5/7721404</f>
        <v>0.27915894570469307</v>
      </c>
      <c r="H5" s="17">
        <v>35.97</v>
      </c>
      <c r="I5" s="15">
        <f>7695029492-I4</f>
        <v>6191972</v>
      </c>
      <c r="J5" s="38"/>
      <c r="K5" s="38"/>
    </row>
    <row r="6" spans="1:13" x14ac:dyDescent="0.25">
      <c r="A6" s="4" t="s">
        <v>26</v>
      </c>
      <c r="B6" s="15">
        <v>4056</v>
      </c>
      <c r="C6" s="16">
        <f t="shared" si="0"/>
        <v>0.40560000000000002</v>
      </c>
      <c r="D6" s="17">
        <v>0.06</v>
      </c>
      <c r="E6" s="15">
        <f>8333733588-E5-E4</f>
        <v>7247</v>
      </c>
      <c r="F6" s="15">
        <v>1941254</v>
      </c>
      <c r="G6" s="16">
        <f t="shared" si="1"/>
        <v>0.25141204889680685</v>
      </c>
      <c r="H6" s="17">
        <v>191.15</v>
      </c>
      <c r="I6" s="15">
        <f>7702436044-I5-I4</f>
        <v>7406552</v>
      </c>
      <c r="J6" s="38"/>
      <c r="K6" s="38"/>
      <c r="M6">
        <v>500</v>
      </c>
    </row>
    <row r="7" spans="1:13" x14ac:dyDescent="0.25">
      <c r="A7" s="4" t="s">
        <v>27</v>
      </c>
      <c r="B7" s="15">
        <v>2246</v>
      </c>
      <c r="C7" s="16">
        <f t="shared" si="0"/>
        <v>0.22459999999999999</v>
      </c>
      <c r="D7" s="17">
        <v>7.0000000000000007E-2</v>
      </c>
      <c r="E7" s="15">
        <f>8333743956-E6-E5-E4</f>
        <v>10368</v>
      </c>
      <c r="F7" s="15">
        <v>1756677</v>
      </c>
      <c r="G7" s="16">
        <f t="shared" si="1"/>
        <v>0.22750745848811951</v>
      </c>
      <c r="H7" s="17">
        <v>78.75</v>
      </c>
      <c r="I7" s="15">
        <f>7708484915-I6-I5-I4</f>
        <v>6048871</v>
      </c>
      <c r="J7" s="38"/>
      <c r="K7" s="38"/>
    </row>
    <row r="8" spans="1:13" x14ac:dyDescent="0.25">
      <c r="A8" s="4" t="s">
        <v>28</v>
      </c>
      <c r="B8" s="15">
        <v>2245</v>
      </c>
      <c r="C8" s="16">
        <f t="shared" si="0"/>
        <v>0.22450000000000001</v>
      </c>
      <c r="D8" s="17">
        <v>2.52</v>
      </c>
      <c r="E8" s="15">
        <f>8335989956-E7-E6-E5-E4</f>
        <v>2246000</v>
      </c>
      <c r="F8" s="15">
        <v>1759741</v>
      </c>
      <c r="G8" s="16">
        <f t="shared" si="1"/>
        <v>0.22790427751222447</v>
      </c>
      <c r="H8" s="17">
        <v>2314.59</v>
      </c>
      <c r="I8" s="15">
        <f>9465161915-I7-I6-I5-I4</f>
        <v>1756677000</v>
      </c>
      <c r="J8" s="38"/>
      <c r="K8" s="38"/>
    </row>
    <row r="9" spans="1:13" x14ac:dyDescent="0.25">
      <c r="A9" s="4" t="s">
        <v>29</v>
      </c>
      <c r="B9" s="15">
        <v>162</v>
      </c>
      <c r="C9" s="16">
        <f t="shared" si="0"/>
        <v>1.6199999999999999E-2</v>
      </c>
      <c r="D9" s="17">
        <v>73.44</v>
      </c>
      <c r="E9" s="15">
        <f>8897561828-E8-E7-E6-E5-E4</f>
        <v>561571872</v>
      </c>
      <c r="F9" s="15">
        <v>16345</v>
      </c>
      <c r="G9" s="16">
        <f>F9/7721404</f>
        <v>2.1168429990193493E-3</v>
      </c>
      <c r="H9" s="17">
        <v>819.72</v>
      </c>
      <c r="I9" s="15">
        <f>10287286751-I8-I7-I6-I5-I4</f>
        <v>822124836</v>
      </c>
      <c r="J9" s="42">
        <f>H9*500</f>
        <v>409860</v>
      </c>
      <c r="K9" s="43">
        <f>I9*500</f>
        <v>411062418000</v>
      </c>
    </row>
    <row r="10" spans="1:13" x14ac:dyDescent="0.25">
      <c r="A10" s="6" t="s">
        <v>30</v>
      </c>
      <c r="B10" s="11">
        <f>SUM(B4:B9)</f>
        <v>19946</v>
      </c>
      <c r="C10" s="11">
        <f t="shared" ref="C10:I10" si="2">SUM(C4:C9)</f>
        <v>1.9945999999999997</v>
      </c>
      <c r="D10" s="18">
        <f t="shared" si="2"/>
        <v>967.88999999999987</v>
      </c>
      <c r="E10" s="20">
        <f t="shared" si="2"/>
        <v>8897561828</v>
      </c>
      <c r="F10" s="11">
        <f t="shared" si="2"/>
        <v>11023436</v>
      </c>
      <c r="G10" s="11">
        <f t="shared" si="2"/>
        <v>1.4276465782647818</v>
      </c>
      <c r="H10" s="18">
        <f t="shared" si="2"/>
        <v>4548.46</v>
      </c>
      <c r="I10" s="20">
        <f t="shared" si="2"/>
        <v>10287286751</v>
      </c>
      <c r="J10" s="39">
        <f>H10-H9+J9</f>
        <v>413588.74</v>
      </c>
      <c r="K10" s="40">
        <f>I10-I9+K9</f>
        <v>420527579915</v>
      </c>
    </row>
    <row r="11" spans="1:13" x14ac:dyDescent="0.25">
      <c r="H11" s="44" t="s">
        <v>51</v>
      </c>
      <c r="I11" s="44" t="s">
        <v>51</v>
      </c>
    </row>
    <row r="12" spans="1:13" x14ac:dyDescent="0.25">
      <c r="G12" s="33"/>
      <c r="H12" s="45"/>
    </row>
    <row r="13" spans="1:13" x14ac:dyDescent="0.25">
      <c r="A13" s="48" t="s">
        <v>46</v>
      </c>
      <c r="B13" s="49" t="s">
        <v>22</v>
      </c>
      <c r="C13" s="49"/>
      <c r="D13" s="49"/>
      <c r="E13" s="49"/>
      <c r="F13" s="49" t="s">
        <v>23</v>
      </c>
      <c r="G13" s="49"/>
      <c r="H13" s="49"/>
      <c r="I13" s="49"/>
    </row>
    <row r="14" spans="1:13" x14ac:dyDescent="0.25">
      <c r="A14" s="48"/>
      <c r="B14" s="49" t="s">
        <v>18</v>
      </c>
      <c r="C14" s="49"/>
      <c r="D14" s="49"/>
      <c r="E14" s="49"/>
      <c r="F14" s="50" t="s">
        <v>21</v>
      </c>
      <c r="G14" s="50"/>
      <c r="H14" s="50"/>
      <c r="I14" s="50"/>
    </row>
    <row r="15" spans="1:13" x14ac:dyDescent="0.25">
      <c r="A15" s="49"/>
      <c r="B15" s="9" t="s">
        <v>32</v>
      </c>
      <c r="C15" s="9" t="s">
        <v>34</v>
      </c>
      <c r="D15" s="9" t="s">
        <v>35</v>
      </c>
      <c r="E15" s="9" t="s">
        <v>33</v>
      </c>
      <c r="F15" s="9" t="s">
        <v>32</v>
      </c>
      <c r="G15" s="9" t="s">
        <v>34</v>
      </c>
      <c r="H15" s="9" t="s">
        <v>35</v>
      </c>
      <c r="I15" s="9" t="s">
        <v>33</v>
      </c>
      <c r="J15" s="41" t="s">
        <v>50</v>
      </c>
      <c r="K15" s="41" t="s">
        <v>50</v>
      </c>
    </row>
    <row r="16" spans="1:13" x14ac:dyDescent="0.25">
      <c r="A16" s="4" t="s">
        <v>25</v>
      </c>
      <c r="B16" s="15">
        <v>8115</v>
      </c>
      <c r="C16" s="16">
        <f>B16/10000</f>
        <v>0.8115</v>
      </c>
      <c r="D16" s="17">
        <v>2213.54</v>
      </c>
      <c r="E16" s="15">
        <v>20297167020</v>
      </c>
      <c r="F16" s="15">
        <v>4596027</v>
      </c>
      <c r="G16" s="16">
        <f>F16/7721404</f>
        <v>0.59523203293079863</v>
      </c>
      <c r="H16" s="17">
        <v>2750.8</v>
      </c>
      <c r="I16" s="15">
        <v>20319256620</v>
      </c>
      <c r="J16" s="38"/>
      <c r="K16" s="38"/>
    </row>
    <row r="17" spans="1:13" x14ac:dyDescent="0.25">
      <c r="A17" s="4" t="s">
        <v>24</v>
      </c>
      <c r="B17" s="15">
        <v>7325</v>
      </c>
      <c r="C17" s="16">
        <f t="shared" ref="C17:C21" si="3">B17/10000</f>
        <v>0.73250000000000004</v>
      </c>
      <c r="D17" s="17">
        <v>0.12</v>
      </c>
      <c r="E17" s="15">
        <f>20297189346-E16</f>
        <v>22326</v>
      </c>
      <c r="F17" s="15">
        <v>2906887</v>
      </c>
      <c r="G17" s="16">
        <f t="shared" ref="G17:G20" si="4">F17/7721404</f>
        <v>0.37647129977915933</v>
      </c>
      <c r="H17" s="17">
        <v>86.26</v>
      </c>
      <c r="I17" s="15">
        <f>20330729310-I16</f>
        <v>11472690</v>
      </c>
      <c r="J17" s="38"/>
      <c r="K17" s="38"/>
    </row>
    <row r="18" spans="1:13" x14ac:dyDescent="0.25">
      <c r="A18" s="4" t="s">
        <v>26</v>
      </c>
      <c r="B18" s="15">
        <v>6344</v>
      </c>
      <c r="C18" s="16">
        <f t="shared" si="3"/>
        <v>0.63439999999999996</v>
      </c>
      <c r="D18" s="17">
        <v>0.11</v>
      </c>
      <c r="E18" s="15">
        <f>20297201465-E17-E16</f>
        <v>12119</v>
      </c>
      <c r="F18" s="15">
        <v>2694051</v>
      </c>
      <c r="G18" s="16">
        <f t="shared" si="4"/>
        <v>0.34890688273790621</v>
      </c>
      <c r="H18" s="17">
        <v>379.89</v>
      </c>
      <c r="I18" s="15">
        <f>20344298956-I17-I16</f>
        <v>13569646</v>
      </c>
      <c r="J18" s="38"/>
      <c r="K18" s="38"/>
      <c r="M18">
        <v>1000</v>
      </c>
    </row>
    <row r="19" spans="1:13" x14ac:dyDescent="0.25">
      <c r="A19" s="4" t="s">
        <v>27</v>
      </c>
      <c r="B19" s="15">
        <v>4438</v>
      </c>
      <c r="C19" s="16">
        <f t="shared" si="3"/>
        <v>0.44379999999999997</v>
      </c>
      <c r="D19" s="17">
        <v>0.13</v>
      </c>
      <c r="E19" s="15">
        <f>20297221889-E18-E17-E16</f>
        <v>20424</v>
      </c>
      <c r="F19" s="15">
        <v>2491214</v>
      </c>
      <c r="G19" s="16">
        <f t="shared" si="4"/>
        <v>0.32263743744013396</v>
      </c>
      <c r="H19" s="17">
        <v>80</v>
      </c>
      <c r="I19" s="15">
        <f>20357893165-I18-I17-I16</f>
        <v>13594209</v>
      </c>
      <c r="J19" s="38"/>
      <c r="K19" s="38"/>
    </row>
    <row r="20" spans="1:13" x14ac:dyDescent="0.25">
      <c r="A20" s="4" t="s">
        <v>28</v>
      </c>
      <c r="B20" s="15">
        <v>4433</v>
      </c>
      <c r="C20" s="16">
        <f t="shared" si="3"/>
        <v>0.44330000000000003</v>
      </c>
      <c r="D20" s="17">
        <v>5.55</v>
      </c>
      <c r="E20" s="15">
        <f>20301659889-E19-E18-E17-E16</f>
        <v>4438000</v>
      </c>
      <c r="F20" s="15">
        <v>2494444</v>
      </c>
      <c r="G20" s="16">
        <f t="shared" si="4"/>
        <v>0.32305575514504875</v>
      </c>
      <c r="H20" s="17">
        <v>2628.72</v>
      </c>
      <c r="I20" s="15">
        <f>22849107165-I19-I18-I17-I16</f>
        <v>2491214000</v>
      </c>
      <c r="J20" s="38"/>
      <c r="K20" s="38"/>
    </row>
    <row r="21" spans="1:13" x14ac:dyDescent="0.25">
      <c r="A21" s="4" t="s">
        <v>29</v>
      </c>
      <c r="B21" s="15">
        <v>516</v>
      </c>
      <c r="C21" s="16">
        <f t="shared" si="3"/>
        <v>5.16E-2</v>
      </c>
      <c r="D21" s="17">
        <v>283.14999999999998</v>
      </c>
      <c r="E21" s="15">
        <f>22520961673-E20-E19-E18-E17-E16</f>
        <v>2219301784</v>
      </c>
      <c r="F21" s="15">
        <v>37467</v>
      </c>
      <c r="G21" s="16">
        <f>F21/7721404</f>
        <v>4.8523558668863848E-3</v>
      </c>
      <c r="H21" s="17">
        <v>1144.3</v>
      </c>
      <c r="I21" s="15">
        <f>25116111905-I20-I19-I18-I17-I16</f>
        <v>2267004740</v>
      </c>
      <c r="J21" s="42">
        <f>H21*1000</f>
        <v>1144300</v>
      </c>
      <c r="K21" s="43">
        <f>I21*1000</f>
        <v>2267004740000</v>
      </c>
    </row>
    <row r="22" spans="1:13" x14ac:dyDescent="0.25">
      <c r="A22" s="6" t="s">
        <v>30</v>
      </c>
      <c r="B22" s="11">
        <f t="shared" ref="B22:C22" si="5">SUM(B16:B21)</f>
        <v>31171</v>
      </c>
      <c r="C22" s="11">
        <f t="shared" si="5"/>
        <v>3.1171000000000002</v>
      </c>
      <c r="D22" s="18">
        <f t="shared" ref="D22" si="6">SUM(D16:D21)</f>
        <v>2502.6000000000004</v>
      </c>
      <c r="E22" s="20">
        <f t="shared" ref="E22" si="7">SUM(E16:E21)</f>
        <v>22520961673</v>
      </c>
      <c r="F22" s="11">
        <f t="shared" ref="F22:G22" si="8">SUM(F16:F21)</f>
        <v>15220090</v>
      </c>
      <c r="G22" s="11">
        <f t="shared" si="8"/>
        <v>1.9711557638999335</v>
      </c>
      <c r="H22" s="18">
        <f t="shared" ref="H22" si="9">SUM(H16:H21)</f>
        <v>7069.97</v>
      </c>
      <c r="I22" s="20">
        <f t="shared" ref="I22" si="10">SUM(I16:I21)</f>
        <v>25116111905</v>
      </c>
      <c r="J22" s="39">
        <f>H22-H21+J21</f>
        <v>1150225.67</v>
      </c>
      <c r="K22" s="40">
        <f>I22-I21+K21</f>
        <v>2289853847165</v>
      </c>
    </row>
    <row r="23" spans="1:13" x14ac:dyDescent="0.25">
      <c r="H23" s="44" t="s">
        <v>52</v>
      </c>
      <c r="I23" s="44" t="s">
        <v>52</v>
      </c>
    </row>
    <row r="25" spans="1:13" x14ac:dyDescent="0.25">
      <c r="A25" s="48" t="s">
        <v>46</v>
      </c>
      <c r="B25" s="49" t="s">
        <v>22</v>
      </c>
      <c r="C25" s="49"/>
      <c r="D25" s="49"/>
      <c r="E25" s="49"/>
      <c r="F25" s="49" t="s">
        <v>23</v>
      </c>
      <c r="G25" s="49"/>
      <c r="H25" s="49"/>
      <c r="I25" s="49"/>
    </row>
    <row r="26" spans="1:13" x14ac:dyDescent="0.25">
      <c r="A26" s="48"/>
      <c r="B26" s="49" t="s">
        <v>19</v>
      </c>
      <c r="C26" s="49"/>
      <c r="D26" s="49"/>
      <c r="E26" s="49"/>
      <c r="F26" s="50" t="s">
        <v>21</v>
      </c>
      <c r="G26" s="50"/>
      <c r="H26" s="50"/>
      <c r="I26" s="50"/>
    </row>
    <row r="27" spans="1:13" x14ac:dyDescent="0.25">
      <c r="A27" s="49"/>
      <c r="B27" s="9" t="s">
        <v>32</v>
      </c>
      <c r="C27" s="9" t="s">
        <v>34</v>
      </c>
      <c r="D27" s="9" t="s">
        <v>35</v>
      </c>
      <c r="E27" s="9" t="s">
        <v>33</v>
      </c>
      <c r="F27" s="9" t="s">
        <v>32</v>
      </c>
      <c r="G27" s="9" t="s">
        <v>34</v>
      </c>
      <c r="H27" s="9" t="s">
        <v>35</v>
      </c>
      <c r="I27" s="9" t="s">
        <v>33</v>
      </c>
      <c r="J27" s="41" t="s">
        <v>50</v>
      </c>
      <c r="K27" s="41" t="s">
        <v>50</v>
      </c>
    </row>
    <row r="28" spans="1:13" x14ac:dyDescent="0.25">
      <c r="A28" s="4" t="s">
        <v>25</v>
      </c>
      <c r="B28" s="24">
        <v>9747</v>
      </c>
      <c r="C28" s="25">
        <f>B28/10000</f>
        <v>0.97470000000000001</v>
      </c>
      <c r="D28" s="23">
        <v>4734.83</v>
      </c>
      <c r="E28" s="24">
        <v>39802698000</v>
      </c>
      <c r="F28" s="15">
        <v>5587709</v>
      </c>
      <c r="G28" s="16">
        <f>F28/7721404</f>
        <v>0.72366489306866988</v>
      </c>
      <c r="H28" s="17">
        <v>5935.64</v>
      </c>
      <c r="I28" s="15">
        <v>48052887480</v>
      </c>
      <c r="J28" s="38"/>
      <c r="K28" s="38"/>
    </row>
    <row r="29" spans="1:13" x14ac:dyDescent="0.25">
      <c r="A29" s="4" t="s">
        <v>24</v>
      </c>
      <c r="B29" s="24">
        <v>8633</v>
      </c>
      <c r="C29" s="16">
        <f t="shared" ref="C29:C33" si="11">B29/10000</f>
        <v>0.86329999999999996</v>
      </c>
      <c r="D29" s="17">
        <v>0.18</v>
      </c>
      <c r="E29" s="24">
        <f>39802745256-E28</f>
        <v>47256</v>
      </c>
      <c r="F29" s="15">
        <v>3622638</v>
      </c>
      <c r="G29" s="16">
        <f t="shared" ref="G29:G32" si="12">F29/7721404</f>
        <v>0.46916830151614913</v>
      </c>
      <c r="H29" s="17">
        <v>88.23</v>
      </c>
      <c r="I29" s="15">
        <f>48073201376-I28</f>
        <v>20313896</v>
      </c>
      <c r="J29" s="38"/>
      <c r="K29" s="38"/>
    </row>
    <row r="30" spans="1:13" x14ac:dyDescent="0.25">
      <c r="A30" s="4" t="s">
        <v>26</v>
      </c>
      <c r="B30" s="24">
        <v>8633</v>
      </c>
      <c r="C30" s="25">
        <f t="shared" si="11"/>
        <v>0.86329999999999996</v>
      </c>
      <c r="D30" s="17">
        <v>0.14000000000000001</v>
      </c>
      <c r="E30" s="24">
        <v>12119</v>
      </c>
      <c r="F30" s="15">
        <v>3435836</v>
      </c>
      <c r="G30" s="16">
        <f t="shared" si="12"/>
        <v>0.44497555107853443</v>
      </c>
      <c r="H30" s="17">
        <v>290.82</v>
      </c>
      <c r="I30" s="15">
        <f>48094301828-I29-I28</f>
        <v>21100452</v>
      </c>
      <c r="J30" s="38"/>
      <c r="K30" s="38"/>
      <c r="M30">
        <v>2000</v>
      </c>
    </row>
    <row r="31" spans="1:13" x14ac:dyDescent="0.25">
      <c r="A31" s="4" t="s">
        <v>27</v>
      </c>
      <c r="B31" s="24">
        <v>8633</v>
      </c>
      <c r="C31" s="25">
        <f t="shared" si="11"/>
        <v>0.86329999999999996</v>
      </c>
      <c r="D31" s="17">
        <v>0.48</v>
      </c>
      <c r="E31" s="15">
        <v>41344</v>
      </c>
      <c r="F31" s="15">
        <v>3221610</v>
      </c>
      <c r="G31" s="16">
        <f t="shared" si="12"/>
        <v>0.41723111496303006</v>
      </c>
      <c r="H31" s="17">
        <v>162.6</v>
      </c>
      <c r="I31" s="15">
        <f>48121353709-I30-I29-I28</f>
        <v>27051881</v>
      </c>
      <c r="J31" s="38"/>
      <c r="K31" s="38"/>
    </row>
    <row r="32" spans="1:13" x14ac:dyDescent="0.25">
      <c r="A32" s="4" t="s">
        <v>28</v>
      </c>
      <c r="B32" s="24">
        <v>8626</v>
      </c>
      <c r="C32" s="25">
        <f t="shared" si="11"/>
        <v>0.86260000000000003</v>
      </c>
      <c r="D32" s="17">
        <v>10.07</v>
      </c>
      <c r="E32" s="24">
        <v>8633000</v>
      </c>
      <c r="F32" s="15">
        <v>3224927</v>
      </c>
      <c r="G32" s="16">
        <f t="shared" si="12"/>
        <v>0.4176607000488512</v>
      </c>
      <c r="H32" s="17">
        <v>4468.42</v>
      </c>
      <c r="I32" s="15">
        <f>51342963709-I31-I30-I29-I28</f>
        <v>3221610000</v>
      </c>
      <c r="J32" s="38"/>
      <c r="K32" s="38"/>
    </row>
    <row r="33" spans="1:11" x14ac:dyDescent="0.25">
      <c r="A33" s="4" t="s">
        <v>29</v>
      </c>
      <c r="B33" s="24">
        <v>2584</v>
      </c>
      <c r="C33" s="25">
        <f t="shared" si="11"/>
        <v>0.25840000000000002</v>
      </c>
      <c r="D33" s="17">
        <v>1082.93</v>
      </c>
      <c r="E33" s="24">
        <v>8633138128</v>
      </c>
      <c r="F33" s="15">
        <v>71095</v>
      </c>
      <c r="G33" s="16">
        <f>F33/7721404</f>
        <v>9.2075223625133467E-3</v>
      </c>
      <c r="H33" s="17">
        <v>5099.22</v>
      </c>
      <c r="I33" s="15">
        <f>57145083319-I32-I31-I30-I29-I28</f>
        <v>5802119610</v>
      </c>
      <c r="J33" s="42">
        <f>H33*2000</f>
        <v>10198440</v>
      </c>
      <c r="K33" s="43">
        <f>I33*2000</f>
        <v>11604239220000</v>
      </c>
    </row>
    <row r="34" spans="1:11" x14ac:dyDescent="0.25">
      <c r="A34" s="6" t="s">
        <v>30</v>
      </c>
      <c r="B34" s="11">
        <f t="shared" ref="B34:E34" si="13">SUM(B28:B33)</f>
        <v>46856</v>
      </c>
      <c r="C34" s="11">
        <f t="shared" si="13"/>
        <v>4.6855999999999991</v>
      </c>
      <c r="D34" s="18">
        <f t="shared" si="13"/>
        <v>5828.63</v>
      </c>
      <c r="E34" s="20">
        <f t="shared" si="13"/>
        <v>48444569847</v>
      </c>
      <c r="F34" s="11">
        <f t="shared" ref="F34:I34" si="14">SUM(F28:F33)</f>
        <v>19163815</v>
      </c>
      <c r="G34" s="11">
        <f t="shared" si="14"/>
        <v>2.4819080830377476</v>
      </c>
      <c r="H34" s="18">
        <f t="shared" si="14"/>
        <v>16044.93</v>
      </c>
      <c r="I34" s="20">
        <f t="shared" si="14"/>
        <v>57145083319</v>
      </c>
      <c r="J34" s="39">
        <f>H34-H33+J33</f>
        <v>10209385.710000001</v>
      </c>
      <c r="K34" s="40">
        <f>I34-I33+K33</f>
        <v>11655582183709</v>
      </c>
    </row>
    <row r="35" spans="1:11" x14ac:dyDescent="0.25">
      <c r="H35" s="44" t="s">
        <v>53</v>
      </c>
      <c r="I35" s="44" t="s">
        <v>53</v>
      </c>
    </row>
    <row r="36" spans="1:11" x14ac:dyDescent="0.25">
      <c r="B36" t="s">
        <v>45</v>
      </c>
      <c r="H36" s="45"/>
    </row>
    <row r="37" spans="1:11" x14ac:dyDescent="0.25">
      <c r="E37" s="2"/>
    </row>
    <row r="38" spans="1:11" x14ac:dyDescent="0.25">
      <c r="E38" s="2"/>
    </row>
    <row r="39" spans="1:11" x14ac:dyDescent="0.25">
      <c r="E39" s="2"/>
    </row>
    <row r="40" spans="1:11" x14ac:dyDescent="0.25">
      <c r="E40" s="2"/>
    </row>
    <row r="41" spans="1:11" x14ac:dyDescent="0.25">
      <c r="E41" s="2"/>
    </row>
  </sheetData>
  <mergeCells count="15">
    <mergeCell ref="A25:A27"/>
    <mergeCell ref="B26:E26"/>
    <mergeCell ref="B25:E25"/>
    <mergeCell ref="F1:I1"/>
    <mergeCell ref="F13:I13"/>
    <mergeCell ref="F25:I25"/>
    <mergeCell ref="F26:I26"/>
    <mergeCell ref="F14:I14"/>
    <mergeCell ref="F2:I2"/>
    <mergeCell ref="A13:A15"/>
    <mergeCell ref="B14:E14"/>
    <mergeCell ref="A1:A3"/>
    <mergeCell ref="B2:E2"/>
    <mergeCell ref="B1:E1"/>
    <mergeCell ref="B13:E1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DF45-D4D0-4BE4-AF0C-1231FC483C50}">
  <dimension ref="A1:M33"/>
  <sheetViews>
    <sheetView workbookViewId="0">
      <selection activeCell="G32" sqref="G32"/>
    </sheetView>
  </sheetViews>
  <sheetFormatPr baseColWidth="10" defaultRowHeight="15" x14ac:dyDescent="0.25"/>
  <cols>
    <col min="5" max="5" width="13.7109375" bestFit="1" customWidth="1"/>
    <col min="8" max="8" width="14.140625" customWidth="1"/>
    <col min="9" max="9" width="13.7109375" bestFit="1" customWidth="1"/>
    <col min="10" max="10" width="12.7109375" customWidth="1"/>
    <col min="11" max="11" width="17.5703125" customWidth="1"/>
    <col min="17" max="17" width="12" bestFit="1" customWidth="1"/>
  </cols>
  <sheetData>
    <row r="1" spans="1:13" x14ac:dyDescent="0.25">
      <c r="A1" s="48" t="s">
        <v>46</v>
      </c>
      <c r="B1" s="49" t="s">
        <v>22</v>
      </c>
      <c r="C1" s="49"/>
      <c r="D1" s="49"/>
      <c r="E1" s="49"/>
      <c r="F1" s="49" t="s">
        <v>23</v>
      </c>
      <c r="G1" s="49"/>
      <c r="H1" s="49"/>
      <c r="I1" s="49"/>
    </row>
    <row r="2" spans="1:13" s="1" customFormat="1" x14ac:dyDescent="0.25">
      <c r="A2" s="48"/>
      <c r="B2" s="49" t="s">
        <v>18</v>
      </c>
      <c r="C2" s="49"/>
      <c r="D2" s="49"/>
      <c r="E2" s="49"/>
      <c r="F2" s="50" t="s">
        <v>21</v>
      </c>
      <c r="G2" s="50"/>
      <c r="H2" s="50"/>
      <c r="I2" s="50"/>
    </row>
    <row r="3" spans="1:13" s="3" customFormat="1" x14ac:dyDescent="0.25">
      <c r="A3" s="49"/>
      <c r="B3" s="9" t="s">
        <v>32</v>
      </c>
      <c r="C3" s="9" t="s">
        <v>34</v>
      </c>
      <c r="D3" s="9" t="s">
        <v>35</v>
      </c>
      <c r="E3" s="9" t="s">
        <v>33</v>
      </c>
      <c r="F3" s="9" t="s">
        <v>32</v>
      </c>
      <c r="G3" s="9" t="s">
        <v>34</v>
      </c>
      <c r="H3" s="9" t="s">
        <v>35</v>
      </c>
      <c r="I3" s="9" t="s">
        <v>33</v>
      </c>
      <c r="J3" s="41" t="s">
        <v>50</v>
      </c>
      <c r="K3" s="41" t="s">
        <v>50</v>
      </c>
    </row>
    <row r="4" spans="1:13" x14ac:dyDescent="0.25">
      <c r="A4" s="4" t="s">
        <v>25</v>
      </c>
      <c r="B4" s="24">
        <v>5864</v>
      </c>
      <c r="C4" s="25">
        <f>B4/10000</f>
        <v>0.58640000000000003</v>
      </c>
      <c r="D4" s="21">
        <v>854.95</v>
      </c>
      <c r="E4" s="24">
        <v>8333715780</v>
      </c>
      <c r="F4" s="24">
        <v>3393920</v>
      </c>
      <c r="G4" s="16">
        <f t="shared" ref="G4:G8" si="0">F4/7721404</f>
        <v>0.43954700466391866</v>
      </c>
      <c r="H4" s="23">
        <v>1187.8699999999999</v>
      </c>
      <c r="I4" s="24">
        <v>7688837520</v>
      </c>
      <c r="J4" s="38"/>
      <c r="K4" s="38"/>
    </row>
    <row r="5" spans="1:13" x14ac:dyDescent="0.25">
      <c r="A5" s="4" t="s">
        <v>24</v>
      </c>
      <c r="B5" s="24">
        <v>5373</v>
      </c>
      <c r="C5" s="25">
        <f t="shared" ref="C5:C8" si="1">B5/10000</f>
        <v>0.5373</v>
      </c>
      <c r="D5" s="21">
        <v>0.06</v>
      </c>
      <c r="E5" s="24">
        <f>8333726341-E4</f>
        <v>10561</v>
      </c>
      <c r="F5" s="24">
        <v>2155499</v>
      </c>
      <c r="G5" s="16">
        <f t="shared" si="0"/>
        <v>0.27915894570469307</v>
      </c>
      <c r="H5" s="23">
        <v>36.47</v>
      </c>
      <c r="I5" s="24">
        <f>7695029492-I4</f>
        <v>6191972</v>
      </c>
      <c r="J5" s="38"/>
      <c r="K5" s="38"/>
      <c r="M5">
        <v>500</v>
      </c>
    </row>
    <row r="6" spans="1:13" x14ac:dyDescent="0.25">
      <c r="A6" s="4" t="s">
        <v>27</v>
      </c>
      <c r="B6" s="24">
        <v>2246</v>
      </c>
      <c r="C6" s="25">
        <f t="shared" si="1"/>
        <v>0.22459999999999999</v>
      </c>
      <c r="D6" s="21">
        <v>7.0000000000000007E-2</v>
      </c>
      <c r="E6" s="24">
        <f>8333736709-E5-E4</f>
        <v>10368</v>
      </c>
      <c r="F6" s="24">
        <v>1756677</v>
      </c>
      <c r="G6" s="16">
        <f t="shared" si="0"/>
        <v>0.22750745848811951</v>
      </c>
      <c r="H6" s="23">
        <v>182.12</v>
      </c>
      <c r="I6" s="24">
        <f>7701078363-I5-I4</f>
        <v>6048871</v>
      </c>
      <c r="J6" s="38"/>
      <c r="K6" s="38"/>
    </row>
    <row r="7" spans="1:13" x14ac:dyDescent="0.25">
      <c r="A7" s="4" t="s">
        <v>28</v>
      </c>
      <c r="B7" s="24">
        <v>2245</v>
      </c>
      <c r="C7" s="25">
        <f t="shared" si="1"/>
        <v>0.22450000000000001</v>
      </c>
      <c r="D7" s="21">
        <v>2.44</v>
      </c>
      <c r="E7" s="24">
        <f>8335982709-E6-E5-E4</f>
        <v>2246000</v>
      </c>
      <c r="F7" s="24">
        <v>1759741</v>
      </c>
      <c r="G7" s="16">
        <f t="shared" si="0"/>
        <v>0.22790427751222447</v>
      </c>
      <c r="H7" s="23">
        <v>2461.7600000000002</v>
      </c>
      <c r="I7" s="24">
        <f>9457755363-I6-I5-I4</f>
        <v>1756677000</v>
      </c>
      <c r="J7" s="38"/>
      <c r="K7" s="38"/>
    </row>
    <row r="8" spans="1:13" x14ac:dyDescent="0.25">
      <c r="A8" s="4" t="s">
        <v>29</v>
      </c>
      <c r="B8" s="24">
        <v>162</v>
      </c>
      <c r="C8" s="25">
        <f t="shared" si="1"/>
        <v>1.6199999999999999E-2</v>
      </c>
      <c r="D8" s="32">
        <v>66.900000000000006</v>
      </c>
      <c r="E8" s="24">
        <f>8897554581-E7-E6-E5-E4</f>
        <v>561571872</v>
      </c>
      <c r="F8" s="24">
        <v>16345</v>
      </c>
      <c r="G8" s="16">
        <f t="shared" si="0"/>
        <v>2.1168429990193493E-3</v>
      </c>
      <c r="H8" s="23">
        <v>873.98</v>
      </c>
      <c r="I8" s="24">
        <f>10279880199-I7-I6-I5-I4</f>
        <v>822124836</v>
      </c>
      <c r="J8" s="42">
        <f>H8*500</f>
        <v>436990</v>
      </c>
      <c r="K8" s="43">
        <f>I8*500</f>
        <v>411062418000</v>
      </c>
    </row>
    <row r="9" spans="1:13" x14ac:dyDescent="0.25">
      <c r="A9" s="6" t="s">
        <v>30</v>
      </c>
      <c r="B9" s="28">
        <f t="shared" ref="B9:I9" si="2">SUM(B4:B8)</f>
        <v>15890</v>
      </c>
      <c r="C9" s="28">
        <f t="shared" si="2"/>
        <v>1.5889999999999997</v>
      </c>
      <c r="D9" s="29">
        <f t="shared" si="2"/>
        <v>924.42000000000007</v>
      </c>
      <c r="E9" s="30">
        <f t="shared" si="2"/>
        <v>8897554581</v>
      </c>
      <c r="F9" s="28">
        <f t="shared" si="2"/>
        <v>9082182</v>
      </c>
      <c r="G9" s="28">
        <f t="shared" si="2"/>
        <v>1.176234529367975</v>
      </c>
      <c r="H9" s="31">
        <f t="shared" si="2"/>
        <v>4742.2000000000007</v>
      </c>
      <c r="I9" s="30">
        <f t="shared" si="2"/>
        <v>10279880199</v>
      </c>
      <c r="J9" s="39">
        <f>H9-H8+J8</f>
        <v>440858.22</v>
      </c>
      <c r="K9" s="40">
        <f>I9-I8+K8</f>
        <v>420520173363</v>
      </c>
    </row>
    <row r="10" spans="1:13" x14ac:dyDescent="0.25">
      <c r="D10" s="52"/>
      <c r="H10" s="44" t="s">
        <v>51</v>
      </c>
      <c r="I10" s="44" t="s">
        <v>51</v>
      </c>
    </row>
    <row r="11" spans="1:13" x14ac:dyDescent="0.25">
      <c r="H11" s="52"/>
    </row>
    <row r="12" spans="1:13" x14ac:dyDescent="0.25">
      <c r="A12" s="48" t="s">
        <v>46</v>
      </c>
      <c r="B12" s="49" t="s">
        <v>22</v>
      </c>
      <c r="C12" s="49"/>
      <c r="D12" s="49"/>
      <c r="E12" s="49"/>
      <c r="F12" s="49" t="s">
        <v>23</v>
      </c>
      <c r="G12" s="49"/>
      <c r="H12" s="49"/>
      <c r="I12" s="49"/>
    </row>
    <row r="13" spans="1:13" x14ac:dyDescent="0.25">
      <c r="A13" s="48"/>
      <c r="B13" s="49" t="s">
        <v>18</v>
      </c>
      <c r="C13" s="49"/>
      <c r="D13" s="49"/>
      <c r="E13" s="49"/>
      <c r="F13" s="50" t="s">
        <v>21</v>
      </c>
      <c r="G13" s="50"/>
      <c r="H13" s="50"/>
      <c r="I13" s="50"/>
    </row>
    <row r="14" spans="1:13" x14ac:dyDescent="0.25">
      <c r="A14" s="49"/>
      <c r="B14" s="9" t="s">
        <v>32</v>
      </c>
      <c r="C14" s="9" t="s">
        <v>34</v>
      </c>
      <c r="D14" s="9" t="s">
        <v>35</v>
      </c>
      <c r="E14" s="9" t="s">
        <v>33</v>
      </c>
      <c r="F14" s="9" t="s">
        <v>32</v>
      </c>
      <c r="G14" s="9" t="s">
        <v>34</v>
      </c>
      <c r="H14" s="9" t="s">
        <v>35</v>
      </c>
      <c r="I14" s="9" t="s">
        <v>33</v>
      </c>
      <c r="J14" s="41" t="s">
        <v>50</v>
      </c>
      <c r="K14" s="41" t="s">
        <v>50</v>
      </c>
    </row>
    <row r="15" spans="1:13" x14ac:dyDescent="0.25">
      <c r="A15" s="4" t="s">
        <v>25</v>
      </c>
      <c r="B15" s="24">
        <v>8115</v>
      </c>
      <c r="C15" s="25">
        <f>B15/10000</f>
        <v>0.8115</v>
      </c>
      <c r="D15" s="23">
        <v>2043.13</v>
      </c>
      <c r="E15" s="24">
        <v>20297167020</v>
      </c>
      <c r="F15" s="24">
        <v>4596027</v>
      </c>
      <c r="G15" s="16">
        <f t="shared" ref="G15:G19" si="3">F15/7721404</f>
        <v>0.59523203293079863</v>
      </c>
      <c r="H15" s="23">
        <v>2917.42</v>
      </c>
      <c r="I15" s="24">
        <v>20319256620</v>
      </c>
      <c r="J15" s="38"/>
      <c r="K15" s="38"/>
    </row>
    <row r="16" spans="1:13" x14ac:dyDescent="0.25">
      <c r="A16" s="4" t="s">
        <v>24</v>
      </c>
      <c r="B16" s="24">
        <v>7325</v>
      </c>
      <c r="C16" s="25">
        <f t="shared" ref="C16:C19" si="4">B16/10000</f>
        <v>0.73250000000000004</v>
      </c>
      <c r="D16" s="23">
        <v>0.1</v>
      </c>
      <c r="E16" s="24">
        <f>20297189346-E15</f>
        <v>22326</v>
      </c>
      <c r="F16" s="24">
        <v>2906887</v>
      </c>
      <c r="G16" s="16">
        <f t="shared" si="3"/>
        <v>0.37647129977915933</v>
      </c>
      <c r="H16" s="23">
        <v>58.29</v>
      </c>
      <c r="I16" s="24">
        <f>20330729310-I15</f>
        <v>11472690</v>
      </c>
      <c r="J16" s="38"/>
      <c r="K16" s="38"/>
      <c r="M16">
        <v>1000</v>
      </c>
    </row>
    <row r="17" spans="1:13" x14ac:dyDescent="0.25">
      <c r="A17" s="4" t="s">
        <v>27</v>
      </c>
      <c r="B17" s="24">
        <v>4438</v>
      </c>
      <c r="C17" s="25">
        <f t="shared" si="4"/>
        <v>0.44379999999999997</v>
      </c>
      <c r="D17" s="23">
        <v>0.12</v>
      </c>
      <c r="E17" s="24">
        <f>20297209770-E16-E15</f>
        <v>20424</v>
      </c>
      <c r="F17" s="24">
        <v>2491214</v>
      </c>
      <c r="G17" s="16">
        <f t="shared" si="3"/>
        <v>0.32263743744013396</v>
      </c>
      <c r="H17" s="23">
        <v>223.52</v>
      </c>
      <c r="I17" s="24">
        <f>20344323519-I16-I15</f>
        <v>13594209</v>
      </c>
      <c r="J17" s="38"/>
      <c r="K17" s="38"/>
    </row>
    <row r="18" spans="1:13" x14ac:dyDescent="0.25">
      <c r="A18" s="4" t="s">
        <v>28</v>
      </c>
      <c r="B18" s="24">
        <v>4433</v>
      </c>
      <c r="C18" s="25">
        <f t="shared" si="4"/>
        <v>0.44330000000000003</v>
      </c>
      <c r="D18" s="23">
        <v>4.75</v>
      </c>
      <c r="E18" s="24">
        <f>20301647770-E17-E16-E15</f>
        <v>4438000</v>
      </c>
      <c r="F18" s="24">
        <v>2494444</v>
      </c>
      <c r="G18" s="16">
        <f t="shared" si="3"/>
        <v>0.32305575514504875</v>
      </c>
      <c r="H18" s="23">
        <v>3571.43</v>
      </c>
      <c r="I18" s="24">
        <f>22835537519-I17-I16-I15</f>
        <v>2491214000</v>
      </c>
      <c r="J18" s="38"/>
      <c r="K18" s="38"/>
    </row>
    <row r="19" spans="1:13" x14ac:dyDescent="0.25">
      <c r="A19" s="4" t="s">
        <v>29</v>
      </c>
      <c r="B19" s="21">
        <v>516</v>
      </c>
      <c r="C19" s="25">
        <f t="shared" si="4"/>
        <v>5.16E-2</v>
      </c>
      <c r="D19" s="23">
        <v>260.93</v>
      </c>
      <c r="E19" s="24">
        <f>22520949554-E18-E17-E16-E15</f>
        <v>2219301784</v>
      </c>
      <c r="F19" s="24">
        <v>37467</v>
      </c>
      <c r="G19" s="16">
        <f t="shared" si="3"/>
        <v>4.8523558668863848E-3</v>
      </c>
      <c r="H19" s="23">
        <v>2218.02</v>
      </c>
      <c r="I19" s="24">
        <f>25102542259-I18-I17-I16-I15</f>
        <v>2267004740</v>
      </c>
      <c r="J19" s="42">
        <f>H19*1000</f>
        <v>2218020</v>
      </c>
      <c r="K19" s="43">
        <f>I19*1000</f>
        <v>2267004740000</v>
      </c>
    </row>
    <row r="20" spans="1:13" x14ac:dyDescent="0.25">
      <c r="A20" s="6" t="s">
        <v>30</v>
      </c>
      <c r="B20" s="28">
        <f t="shared" ref="B20:I20" si="5">SUM(B15:B19)</f>
        <v>24827</v>
      </c>
      <c r="C20" s="28">
        <f t="shared" si="5"/>
        <v>2.4826999999999999</v>
      </c>
      <c r="D20" s="31">
        <f t="shared" si="5"/>
        <v>2309.0299999999997</v>
      </c>
      <c r="E20" s="30">
        <f t="shared" si="5"/>
        <v>22520949554</v>
      </c>
      <c r="F20" s="28">
        <f t="shared" si="5"/>
        <v>12526039</v>
      </c>
      <c r="G20" s="28">
        <f t="shared" si="5"/>
        <v>1.6222488811620273</v>
      </c>
      <c r="H20" s="31">
        <f t="shared" si="5"/>
        <v>8988.68</v>
      </c>
      <c r="I20" s="30">
        <f t="shared" si="5"/>
        <v>25102542259</v>
      </c>
      <c r="J20" s="39">
        <f>H20-H19+J19</f>
        <v>2224790.66</v>
      </c>
      <c r="K20" s="40">
        <f>I20-I19+K19</f>
        <v>2289840277519</v>
      </c>
    </row>
    <row r="21" spans="1:13" x14ac:dyDescent="0.25">
      <c r="D21" s="52"/>
      <c r="H21" s="44" t="s">
        <v>52</v>
      </c>
      <c r="I21" s="44" t="s">
        <v>52</v>
      </c>
    </row>
    <row r="22" spans="1:13" x14ac:dyDescent="0.25">
      <c r="H22" s="52"/>
    </row>
    <row r="23" spans="1:13" x14ac:dyDescent="0.25">
      <c r="A23" s="48" t="s">
        <v>46</v>
      </c>
      <c r="B23" s="49" t="s">
        <v>22</v>
      </c>
      <c r="C23" s="49"/>
      <c r="D23" s="49"/>
      <c r="E23" s="49"/>
      <c r="F23" s="49" t="s">
        <v>23</v>
      </c>
      <c r="G23" s="49"/>
      <c r="H23" s="49"/>
      <c r="I23" s="49"/>
    </row>
    <row r="24" spans="1:13" x14ac:dyDescent="0.25">
      <c r="A24" s="48"/>
      <c r="B24" s="49" t="s">
        <v>19</v>
      </c>
      <c r="C24" s="49"/>
      <c r="D24" s="49"/>
      <c r="E24" s="49"/>
      <c r="F24" s="50" t="s">
        <v>21</v>
      </c>
      <c r="G24" s="50"/>
      <c r="H24" s="50"/>
      <c r="I24" s="50"/>
    </row>
    <row r="25" spans="1:13" x14ac:dyDescent="0.25">
      <c r="A25" s="49"/>
      <c r="B25" s="9" t="s">
        <v>32</v>
      </c>
      <c r="C25" s="9" t="s">
        <v>34</v>
      </c>
      <c r="D25" s="9" t="s">
        <v>35</v>
      </c>
      <c r="E25" s="9" t="s">
        <v>33</v>
      </c>
      <c r="F25" s="9" t="s">
        <v>32</v>
      </c>
      <c r="G25" s="9" t="s">
        <v>34</v>
      </c>
      <c r="H25" s="9" t="s">
        <v>35</v>
      </c>
      <c r="I25" s="9" t="s">
        <v>33</v>
      </c>
      <c r="J25" s="41" t="s">
        <v>50</v>
      </c>
      <c r="K25" s="41" t="s">
        <v>50</v>
      </c>
    </row>
    <row r="26" spans="1:13" x14ac:dyDescent="0.25">
      <c r="A26" s="4" t="s">
        <v>25</v>
      </c>
      <c r="B26" s="24">
        <v>9747</v>
      </c>
      <c r="C26" s="25">
        <f>B26/10000</f>
        <v>0.97470000000000001</v>
      </c>
      <c r="D26" s="23">
        <v>4734.83</v>
      </c>
      <c r="E26" s="24">
        <v>39802698000</v>
      </c>
      <c r="F26" s="24">
        <v>5587709</v>
      </c>
      <c r="G26" s="16">
        <f t="shared" ref="G26:G30" si="6">F26/7721404</f>
        <v>0.72366489306866988</v>
      </c>
      <c r="H26" s="23">
        <v>6540.93</v>
      </c>
      <c r="I26" s="24">
        <v>48052887480</v>
      </c>
      <c r="J26" s="38"/>
      <c r="K26" s="38"/>
    </row>
    <row r="27" spans="1:13" x14ac:dyDescent="0.25">
      <c r="A27" s="4" t="s">
        <v>24</v>
      </c>
      <c r="B27" s="24">
        <v>8633</v>
      </c>
      <c r="C27" s="25">
        <f t="shared" ref="C27:C30" si="7">B27/10000</f>
        <v>0.86329999999999996</v>
      </c>
      <c r="D27" s="23">
        <v>0.18</v>
      </c>
      <c r="E27" s="24">
        <f>39802745256-E26</f>
        <v>47256</v>
      </c>
      <c r="F27" s="24">
        <v>3622638</v>
      </c>
      <c r="G27" s="16">
        <f t="shared" si="6"/>
        <v>0.46916830151614913</v>
      </c>
      <c r="H27" s="32">
        <v>93.9</v>
      </c>
      <c r="I27" s="24">
        <f>48073201376-I26</f>
        <v>20313896</v>
      </c>
      <c r="J27" s="38"/>
      <c r="K27" s="38"/>
      <c r="M27">
        <v>2000</v>
      </c>
    </row>
    <row r="28" spans="1:13" x14ac:dyDescent="0.25">
      <c r="A28" s="4" t="s">
        <v>27</v>
      </c>
      <c r="B28" s="24">
        <v>8633</v>
      </c>
      <c r="C28" s="25">
        <f t="shared" si="7"/>
        <v>0.86329999999999996</v>
      </c>
      <c r="D28" s="23">
        <v>0.22</v>
      </c>
      <c r="E28" s="24">
        <f>39802786600-E27-E26</f>
        <v>41344</v>
      </c>
      <c r="F28" s="24">
        <v>3221610</v>
      </c>
      <c r="G28" s="16">
        <f t="shared" si="6"/>
        <v>0.41723111496303006</v>
      </c>
      <c r="H28" s="21">
        <v>302.01</v>
      </c>
      <c r="I28" s="24">
        <f>48100253257-I27-I26</f>
        <v>27051881</v>
      </c>
      <c r="J28" s="38"/>
      <c r="K28" s="38"/>
    </row>
    <row r="29" spans="1:13" x14ac:dyDescent="0.25">
      <c r="A29" s="4" t="s">
        <v>28</v>
      </c>
      <c r="B29" s="24">
        <v>8626</v>
      </c>
      <c r="C29" s="25">
        <f t="shared" si="7"/>
        <v>0.86260000000000003</v>
      </c>
      <c r="D29" s="23">
        <v>10.07</v>
      </c>
      <c r="E29" s="24">
        <f>39811419600-E28-E27-E26</f>
        <v>8633000</v>
      </c>
      <c r="F29" s="24">
        <v>3224927</v>
      </c>
      <c r="G29" s="16">
        <f t="shared" si="6"/>
        <v>0.4176607000488512</v>
      </c>
      <c r="H29" s="23">
        <v>4731.99</v>
      </c>
      <c r="I29" s="24">
        <f>51321863257-I28-I27-I26</f>
        <v>3221610000</v>
      </c>
      <c r="J29" s="38"/>
      <c r="K29" s="38"/>
    </row>
    <row r="30" spans="1:13" x14ac:dyDescent="0.25">
      <c r="A30" s="4" t="s">
        <v>29</v>
      </c>
      <c r="B30" s="24">
        <v>2584</v>
      </c>
      <c r="C30" s="25">
        <f t="shared" si="7"/>
        <v>0.25840000000000002</v>
      </c>
      <c r="D30" s="23">
        <v>1168.8699999999999</v>
      </c>
      <c r="E30" s="24">
        <f>48444557728-E29-E28-E27-E26</f>
        <v>8633138128</v>
      </c>
      <c r="F30" s="24">
        <v>71095</v>
      </c>
      <c r="G30" s="16">
        <f t="shared" si="6"/>
        <v>9.2075223625133467E-3</v>
      </c>
      <c r="H30" s="23">
        <v>5872.8</v>
      </c>
      <c r="I30" s="24">
        <f>57123982867-I29-I28-I27-I26</f>
        <v>5802119610</v>
      </c>
      <c r="J30" s="42">
        <f>H30*2000</f>
        <v>11745600</v>
      </c>
      <c r="K30" s="43">
        <f>I30*2000</f>
        <v>11604239220000</v>
      </c>
      <c r="M30" s="3"/>
    </row>
    <row r="31" spans="1:13" x14ac:dyDescent="0.25">
      <c r="A31" s="6" t="s">
        <v>30</v>
      </c>
      <c r="B31" s="28">
        <f t="shared" ref="B31:I31" si="8">SUM(B26:B30)</f>
        <v>38223</v>
      </c>
      <c r="C31" s="28">
        <f t="shared" si="8"/>
        <v>3.8222999999999998</v>
      </c>
      <c r="D31" s="31">
        <f t="shared" si="8"/>
        <v>5914.17</v>
      </c>
      <c r="E31" s="30">
        <f t="shared" si="8"/>
        <v>48444557728</v>
      </c>
      <c r="F31" s="28">
        <f t="shared" si="8"/>
        <v>15727979</v>
      </c>
      <c r="G31" s="28">
        <f t="shared" si="8"/>
        <v>2.0369325319592133</v>
      </c>
      <c r="H31" s="31">
        <f t="shared" si="8"/>
        <v>17541.63</v>
      </c>
      <c r="I31" s="30">
        <f t="shared" si="8"/>
        <v>57123982867</v>
      </c>
      <c r="J31" s="39">
        <f>H31-H30+J30</f>
        <v>11757268.83</v>
      </c>
      <c r="K31" s="40">
        <f>I31-I30+K30</f>
        <v>11655561083257</v>
      </c>
    </row>
    <row r="32" spans="1:13" x14ac:dyDescent="0.25">
      <c r="D32" s="52"/>
      <c r="H32" s="44" t="s">
        <v>53</v>
      </c>
      <c r="I32" s="44" t="s">
        <v>53</v>
      </c>
    </row>
    <row r="33" spans="2:8" x14ac:dyDescent="0.25">
      <c r="B33" t="s">
        <v>45</v>
      </c>
      <c r="H33" s="52"/>
    </row>
  </sheetData>
  <mergeCells count="15">
    <mergeCell ref="A1:A3"/>
    <mergeCell ref="B1:E1"/>
    <mergeCell ref="F1:I1"/>
    <mergeCell ref="B2:E2"/>
    <mergeCell ref="F2:I2"/>
    <mergeCell ref="A12:A14"/>
    <mergeCell ref="B12:E12"/>
    <mergeCell ref="F12:I12"/>
    <mergeCell ref="B13:E13"/>
    <mergeCell ref="F13:I13"/>
    <mergeCell ref="A23:A25"/>
    <mergeCell ref="B23:E23"/>
    <mergeCell ref="F23:I23"/>
    <mergeCell ref="B24:E24"/>
    <mergeCell ref="F24:I24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E769-F988-4185-8A03-81D2E3BE8DAF}">
  <dimension ref="A1:M33"/>
  <sheetViews>
    <sheetView workbookViewId="0">
      <selection activeCell="E4" sqref="E4"/>
    </sheetView>
  </sheetViews>
  <sheetFormatPr baseColWidth="10" defaultRowHeight="15" x14ac:dyDescent="0.25"/>
  <cols>
    <col min="5" max="5" width="13.5703125" customWidth="1"/>
    <col min="8" max="8" width="14.140625" customWidth="1"/>
    <col min="9" max="9" width="15" customWidth="1"/>
    <col min="10" max="10" width="12.85546875" customWidth="1"/>
    <col min="11" max="11" width="17.140625" customWidth="1"/>
    <col min="17" max="17" width="12" bestFit="1" customWidth="1"/>
  </cols>
  <sheetData>
    <row r="1" spans="1:13" x14ac:dyDescent="0.25">
      <c r="A1" s="48" t="s">
        <v>46</v>
      </c>
      <c r="B1" s="49" t="s">
        <v>22</v>
      </c>
      <c r="C1" s="49"/>
      <c r="D1" s="49"/>
      <c r="E1" s="49"/>
      <c r="F1" s="49" t="s">
        <v>23</v>
      </c>
      <c r="G1" s="49"/>
      <c r="H1" s="49"/>
      <c r="I1" s="49"/>
    </row>
    <row r="2" spans="1:13" s="1" customFormat="1" x14ac:dyDescent="0.25">
      <c r="A2" s="48"/>
      <c r="B2" s="49" t="s">
        <v>18</v>
      </c>
      <c r="C2" s="49"/>
      <c r="D2" s="49"/>
      <c r="E2" s="49"/>
      <c r="F2" s="50" t="s">
        <v>21</v>
      </c>
      <c r="G2" s="50"/>
      <c r="H2" s="50"/>
      <c r="I2" s="50"/>
    </row>
    <row r="3" spans="1:13" s="3" customFormat="1" x14ac:dyDescent="0.25">
      <c r="A3" s="49"/>
      <c r="B3" s="9" t="s">
        <v>32</v>
      </c>
      <c r="C3" s="9" t="s">
        <v>34</v>
      </c>
      <c r="D3" s="9" t="s">
        <v>35</v>
      </c>
      <c r="E3" s="9" t="s">
        <v>33</v>
      </c>
      <c r="F3" s="9" t="s">
        <v>32</v>
      </c>
      <c r="G3" s="9" t="s">
        <v>34</v>
      </c>
      <c r="H3" s="9" t="s">
        <v>35</v>
      </c>
      <c r="I3" s="9" t="s">
        <v>33</v>
      </c>
      <c r="J3" s="41" t="s">
        <v>50</v>
      </c>
      <c r="K3" s="41" t="s">
        <v>50</v>
      </c>
    </row>
    <row r="4" spans="1:13" x14ac:dyDescent="0.25">
      <c r="A4" s="4" t="s">
        <v>25</v>
      </c>
      <c r="B4" s="24">
        <v>5864</v>
      </c>
      <c r="C4" s="25">
        <f>B4/10000</f>
        <v>0.58640000000000003</v>
      </c>
      <c r="D4" s="23">
        <v>880.3</v>
      </c>
      <c r="E4" s="24">
        <v>8333715780</v>
      </c>
      <c r="F4" s="24">
        <v>3393920</v>
      </c>
      <c r="G4" s="16">
        <f>F4/7721404</f>
        <v>0.43954700466391866</v>
      </c>
      <c r="H4" s="23">
        <v>1022.28</v>
      </c>
      <c r="I4" s="24">
        <v>7688837520</v>
      </c>
      <c r="J4" s="38"/>
      <c r="K4" s="38"/>
    </row>
    <row r="5" spans="1:13" x14ac:dyDescent="0.25">
      <c r="A5" s="4" t="s">
        <v>26</v>
      </c>
      <c r="B5" s="24">
        <v>4056</v>
      </c>
      <c r="C5" s="25">
        <f t="shared" ref="C5:C8" si="0">B5/10000</f>
        <v>0.40560000000000002</v>
      </c>
      <c r="D5" s="23">
        <v>0.09</v>
      </c>
      <c r="E5" s="24">
        <f>8333730002-E4</f>
        <v>14222</v>
      </c>
      <c r="F5" s="24">
        <v>1941254</v>
      </c>
      <c r="G5" s="16">
        <f>F5/7721404</f>
        <v>0.25141204889680685</v>
      </c>
      <c r="H5" s="23">
        <v>149.19999999999999</v>
      </c>
      <c r="I5" s="24">
        <f>7699948004-I4</f>
        <v>11110484</v>
      </c>
      <c r="J5" s="38"/>
      <c r="K5" s="38"/>
      <c r="M5">
        <v>500</v>
      </c>
    </row>
    <row r="6" spans="1:13" x14ac:dyDescent="0.25">
      <c r="A6" s="4" t="s">
        <v>27</v>
      </c>
      <c r="B6" s="24">
        <v>2246</v>
      </c>
      <c r="C6" s="25">
        <f t="shared" si="0"/>
        <v>0.22459999999999999</v>
      </c>
      <c r="D6" s="23">
        <v>0.05</v>
      </c>
      <c r="E6" s="24">
        <f>8333741607-E5-E4</f>
        <v>11605</v>
      </c>
      <c r="F6" s="24">
        <v>1753750</v>
      </c>
      <c r="G6" s="16">
        <f>F6/7721404</f>
        <v>0.22712838235118898</v>
      </c>
      <c r="H6" s="23">
        <v>27.44</v>
      </c>
      <c r="I6" s="24">
        <f>7705754187-I5-I4</f>
        <v>5806183</v>
      </c>
      <c r="J6" s="38"/>
      <c r="K6" s="38"/>
    </row>
    <row r="7" spans="1:13" x14ac:dyDescent="0.25">
      <c r="A7" s="4" t="s">
        <v>28</v>
      </c>
      <c r="B7" s="24">
        <v>2245</v>
      </c>
      <c r="C7" s="25">
        <f t="shared" si="0"/>
        <v>0.22450000000000001</v>
      </c>
      <c r="D7" s="23">
        <v>2.5299999999999998</v>
      </c>
      <c r="E7" s="24">
        <f>8335987607-E6-E5-E4</f>
        <v>2246000</v>
      </c>
      <c r="F7" s="24">
        <v>1756808</v>
      </c>
      <c r="G7" s="16">
        <f>F7/7721404</f>
        <v>0.22752442431454176</v>
      </c>
      <c r="H7" s="23">
        <v>2336</v>
      </c>
      <c r="I7" s="24">
        <f>9459504187-I6-I5-I4</f>
        <v>1753750000</v>
      </c>
      <c r="J7" s="38"/>
      <c r="K7" s="38"/>
    </row>
    <row r="8" spans="1:13" x14ac:dyDescent="0.25">
      <c r="A8" s="4" t="s">
        <v>29</v>
      </c>
      <c r="B8" s="24">
        <v>162</v>
      </c>
      <c r="C8" s="25">
        <f t="shared" si="0"/>
        <v>1.6199999999999999E-2</v>
      </c>
      <c r="D8" s="23">
        <v>70.900000000000006</v>
      </c>
      <c r="E8" s="24">
        <f>8897559479-E7-E6-E5-E4</f>
        <v>561571872</v>
      </c>
      <c r="F8" s="24">
        <v>16345</v>
      </c>
      <c r="G8" s="16">
        <f>F8/7721404</f>
        <v>2.1168429990193493E-3</v>
      </c>
      <c r="H8" s="23">
        <v>736.97</v>
      </c>
      <c r="I8" s="24">
        <f>10280259187-I7-I6-I5-I4</f>
        <v>820755000</v>
      </c>
      <c r="J8" s="42">
        <f>H8*500</f>
        <v>368485</v>
      </c>
      <c r="K8" s="43">
        <f>I8*500</f>
        <v>410377500000</v>
      </c>
    </row>
    <row r="9" spans="1:13" x14ac:dyDescent="0.25">
      <c r="A9" s="6" t="s">
        <v>30</v>
      </c>
      <c r="B9" s="28">
        <f t="shared" ref="B9:I9" si="1">SUM(B4:B8)</f>
        <v>14573</v>
      </c>
      <c r="C9" s="28">
        <f t="shared" si="1"/>
        <v>1.4572999999999998</v>
      </c>
      <c r="D9" s="31">
        <f t="shared" si="1"/>
        <v>953.86999999999989</v>
      </c>
      <c r="E9" s="30">
        <f t="shared" si="1"/>
        <v>8897559479</v>
      </c>
      <c r="F9" s="28">
        <f t="shared" si="1"/>
        <v>8862077</v>
      </c>
      <c r="G9" s="28">
        <f t="shared" si="1"/>
        <v>1.1477287032254755</v>
      </c>
      <c r="H9" s="31">
        <f t="shared" si="1"/>
        <v>4271.8900000000003</v>
      </c>
      <c r="I9" s="30">
        <f t="shared" si="1"/>
        <v>10280259187</v>
      </c>
      <c r="J9" s="39">
        <f>H9-H8+J8</f>
        <v>372019.92</v>
      </c>
      <c r="K9" s="53">
        <f>I9-I8+K8</f>
        <v>419837004187</v>
      </c>
    </row>
    <row r="10" spans="1:13" x14ac:dyDescent="0.25">
      <c r="D10" s="52"/>
      <c r="H10" s="17" t="s">
        <v>51</v>
      </c>
      <c r="I10" s="17" t="s">
        <v>51</v>
      </c>
    </row>
    <row r="11" spans="1:13" x14ac:dyDescent="0.25">
      <c r="H11" s="52"/>
    </row>
    <row r="12" spans="1:13" x14ac:dyDescent="0.25">
      <c r="A12" s="48" t="s">
        <v>46</v>
      </c>
      <c r="B12" s="49" t="s">
        <v>22</v>
      </c>
      <c r="C12" s="49"/>
      <c r="D12" s="49"/>
      <c r="E12" s="49"/>
      <c r="F12" s="49" t="s">
        <v>23</v>
      </c>
      <c r="G12" s="49"/>
      <c r="H12" s="49"/>
      <c r="I12" s="49"/>
    </row>
    <row r="13" spans="1:13" x14ac:dyDescent="0.25">
      <c r="A13" s="48"/>
      <c r="B13" s="49" t="s">
        <v>18</v>
      </c>
      <c r="C13" s="49"/>
      <c r="D13" s="49"/>
      <c r="E13" s="49"/>
      <c r="F13" s="50" t="s">
        <v>21</v>
      </c>
      <c r="G13" s="50"/>
      <c r="H13" s="50"/>
      <c r="I13" s="50"/>
    </row>
    <row r="14" spans="1:13" x14ac:dyDescent="0.25">
      <c r="A14" s="49"/>
      <c r="B14" s="9" t="s">
        <v>32</v>
      </c>
      <c r="C14" s="9" t="s">
        <v>34</v>
      </c>
      <c r="D14" s="9" t="s">
        <v>35</v>
      </c>
      <c r="E14" s="9" t="s">
        <v>33</v>
      </c>
      <c r="F14" s="9" t="s">
        <v>32</v>
      </c>
      <c r="G14" s="9" t="s">
        <v>34</v>
      </c>
      <c r="H14" s="9" t="s">
        <v>35</v>
      </c>
      <c r="I14" s="9" t="s">
        <v>33</v>
      </c>
      <c r="J14" s="41" t="s">
        <v>50</v>
      </c>
      <c r="K14" s="41" t="s">
        <v>50</v>
      </c>
    </row>
    <row r="15" spans="1:13" x14ac:dyDescent="0.25">
      <c r="A15" s="4" t="s">
        <v>25</v>
      </c>
      <c r="B15" s="24">
        <v>8115</v>
      </c>
      <c r="C15" s="25">
        <f>B15/10000</f>
        <v>0.8115</v>
      </c>
      <c r="D15" s="23">
        <v>2338.66</v>
      </c>
      <c r="E15" s="24">
        <v>20297167020</v>
      </c>
      <c r="F15" s="24">
        <v>4596027</v>
      </c>
      <c r="G15" s="16">
        <f>F15/7721404</f>
        <v>0.59523203293079863</v>
      </c>
      <c r="H15" s="23">
        <v>2410.3200000000002</v>
      </c>
      <c r="I15" s="24">
        <v>20319256620</v>
      </c>
      <c r="J15" s="38"/>
      <c r="K15" s="38"/>
    </row>
    <row r="16" spans="1:13" x14ac:dyDescent="0.25">
      <c r="A16" s="4" t="s">
        <v>26</v>
      </c>
      <c r="B16" s="24">
        <v>6344</v>
      </c>
      <c r="C16" s="25">
        <f t="shared" ref="C16:C19" si="2">B16/10000</f>
        <v>0.63439999999999996</v>
      </c>
      <c r="D16" s="23">
        <v>0.17</v>
      </c>
      <c r="E16" s="24">
        <f>20297203921-E15</f>
        <v>36901</v>
      </c>
      <c r="F16" s="24">
        <v>2694051</v>
      </c>
      <c r="G16" s="16">
        <f>F16/7721404</f>
        <v>0.34890688273790621</v>
      </c>
      <c r="H16" s="23">
        <v>244.83</v>
      </c>
      <c r="I16" s="24">
        <f>20347505029-I15</f>
        <v>28248409</v>
      </c>
      <c r="J16" s="38"/>
      <c r="K16" s="38"/>
      <c r="M16">
        <v>1000</v>
      </c>
    </row>
    <row r="17" spans="1:13" x14ac:dyDescent="0.25">
      <c r="A17" s="4" t="s">
        <v>27</v>
      </c>
      <c r="B17" s="24">
        <v>4438</v>
      </c>
      <c r="C17" s="25">
        <f t="shared" si="2"/>
        <v>0.44379999999999997</v>
      </c>
      <c r="D17" s="23">
        <v>0.13</v>
      </c>
      <c r="E17" s="24">
        <f>20297238357-E16-E15</f>
        <v>34436</v>
      </c>
      <c r="F17" s="24">
        <v>2486416</v>
      </c>
      <c r="G17" s="16">
        <f>F17/7721404</f>
        <v>0.32201604785865368</v>
      </c>
      <c r="H17" s="23">
        <v>59.29</v>
      </c>
      <c r="I17" s="24">
        <f>20362840573-I16-I15</f>
        <v>15335544</v>
      </c>
      <c r="J17" s="38"/>
      <c r="K17" s="38"/>
    </row>
    <row r="18" spans="1:13" x14ac:dyDescent="0.25">
      <c r="A18" s="4" t="s">
        <v>28</v>
      </c>
      <c r="B18" s="24">
        <v>4433</v>
      </c>
      <c r="C18" s="25">
        <f t="shared" si="2"/>
        <v>0.44330000000000003</v>
      </c>
      <c r="D18" s="23">
        <v>5.32</v>
      </c>
      <c r="E18" s="24">
        <f>20301676357-E17-E16-E15</f>
        <v>4438000</v>
      </c>
      <c r="F18" s="24">
        <v>2489638</v>
      </c>
      <c r="G18" s="16">
        <f>F18/7721404</f>
        <v>0.32243332948256559</v>
      </c>
      <c r="H18" s="23">
        <v>3289.57</v>
      </c>
      <c r="I18" s="24">
        <f>22849256573-I17-I16-I15</f>
        <v>2486416000</v>
      </c>
      <c r="J18" s="38"/>
      <c r="K18" s="38"/>
    </row>
    <row r="19" spans="1:13" x14ac:dyDescent="0.25">
      <c r="A19" s="4" t="s">
        <v>29</v>
      </c>
      <c r="B19" s="24">
        <v>516</v>
      </c>
      <c r="C19" s="25">
        <f t="shared" si="2"/>
        <v>5.16E-2</v>
      </c>
      <c r="D19" s="23">
        <v>312.22000000000003</v>
      </c>
      <c r="E19" s="24">
        <f>22520978141-E18-E17-E16-E15</f>
        <v>2219301784</v>
      </c>
      <c r="F19" s="24">
        <v>37467</v>
      </c>
      <c r="G19" s="16">
        <f>F19/7721404</f>
        <v>4.8523558668863848E-3</v>
      </c>
      <c r="H19" s="23">
        <v>1937.61</v>
      </c>
      <c r="I19" s="24">
        <f>25111895133-I18-I17-I16-I15</f>
        <v>2262638560</v>
      </c>
      <c r="J19" s="42">
        <f>H19*1000</f>
        <v>1937610</v>
      </c>
      <c r="K19" s="43">
        <f>I19*1000</f>
        <v>2262638560000</v>
      </c>
    </row>
    <row r="20" spans="1:13" x14ac:dyDescent="0.25">
      <c r="A20" s="6" t="s">
        <v>30</v>
      </c>
      <c r="B20" s="28">
        <f t="shared" ref="B20:I20" si="3">SUM(B15:B19)</f>
        <v>23846</v>
      </c>
      <c r="C20" s="28">
        <f t="shared" si="3"/>
        <v>2.3846000000000003</v>
      </c>
      <c r="D20" s="31">
        <f t="shared" si="3"/>
        <v>2656.5</v>
      </c>
      <c r="E20" s="30">
        <f t="shared" si="3"/>
        <v>22520978141</v>
      </c>
      <c r="F20" s="28">
        <f t="shared" si="3"/>
        <v>12303599</v>
      </c>
      <c r="G20" s="28">
        <f t="shared" si="3"/>
        <v>1.5934406488768107</v>
      </c>
      <c r="H20" s="31">
        <f t="shared" si="3"/>
        <v>7941.62</v>
      </c>
      <c r="I20" s="30">
        <f t="shared" si="3"/>
        <v>25111895133</v>
      </c>
      <c r="J20" s="39">
        <f>H20-H19+J19</f>
        <v>1943614.01</v>
      </c>
      <c r="K20" s="40">
        <f>I20-I19+K19</f>
        <v>2285487816573</v>
      </c>
    </row>
    <row r="21" spans="1:13" x14ac:dyDescent="0.25">
      <c r="D21" s="52"/>
      <c r="H21" s="44" t="s">
        <v>52</v>
      </c>
      <c r="I21" s="44" t="s">
        <v>52</v>
      </c>
    </row>
    <row r="22" spans="1:13" x14ac:dyDescent="0.25">
      <c r="H22" s="52"/>
    </row>
    <row r="23" spans="1:13" x14ac:dyDescent="0.25">
      <c r="A23" s="48" t="s">
        <v>46</v>
      </c>
      <c r="B23" s="49" t="s">
        <v>22</v>
      </c>
      <c r="C23" s="49"/>
      <c r="D23" s="49"/>
      <c r="E23" s="49"/>
      <c r="F23" s="49" t="s">
        <v>23</v>
      </c>
      <c r="G23" s="49"/>
      <c r="H23" s="49"/>
      <c r="I23" s="49"/>
    </row>
    <row r="24" spans="1:13" x14ac:dyDescent="0.25">
      <c r="A24" s="48"/>
      <c r="B24" s="49" t="s">
        <v>19</v>
      </c>
      <c r="C24" s="49"/>
      <c r="D24" s="49"/>
      <c r="E24" s="49"/>
      <c r="F24" s="50" t="s">
        <v>21</v>
      </c>
      <c r="G24" s="50"/>
      <c r="H24" s="50"/>
      <c r="I24" s="50"/>
    </row>
    <row r="25" spans="1:13" x14ac:dyDescent="0.25">
      <c r="A25" s="49"/>
      <c r="B25" s="9" t="s">
        <v>32</v>
      </c>
      <c r="C25" s="9" t="s">
        <v>34</v>
      </c>
      <c r="D25" s="9" t="s">
        <v>35</v>
      </c>
      <c r="E25" s="9" t="s">
        <v>33</v>
      </c>
      <c r="F25" s="9" t="s">
        <v>32</v>
      </c>
      <c r="G25" s="9" t="s">
        <v>34</v>
      </c>
      <c r="H25" s="9" t="s">
        <v>35</v>
      </c>
      <c r="I25" s="9" t="s">
        <v>33</v>
      </c>
      <c r="J25" s="41" t="s">
        <v>50</v>
      </c>
      <c r="K25" s="41" t="s">
        <v>50</v>
      </c>
    </row>
    <row r="26" spans="1:13" x14ac:dyDescent="0.25">
      <c r="A26" s="4" t="s">
        <v>25</v>
      </c>
      <c r="B26" s="24">
        <v>9747</v>
      </c>
      <c r="C26" s="25">
        <f>B26/10000</f>
        <v>0.97470000000000001</v>
      </c>
      <c r="D26" s="23">
        <v>2060.75</v>
      </c>
      <c r="E26" s="24">
        <v>39802698000</v>
      </c>
      <c r="F26" s="24">
        <v>5587709</v>
      </c>
      <c r="G26" s="16">
        <f>F26/7721404</f>
        <v>0.72366489306866988</v>
      </c>
      <c r="H26" s="23">
        <v>6307.16</v>
      </c>
      <c r="I26" s="24">
        <v>48052887480</v>
      </c>
      <c r="J26" s="38"/>
      <c r="K26" s="38"/>
    </row>
    <row r="27" spans="1:13" x14ac:dyDescent="0.25">
      <c r="A27" s="4" t="s">
        <v>26</v>
      </c>
      <c r="B27" s="24">
        <v>8633</v>
      </c>
      <c r="C27" s="25">
        <f t="shared" ref="C27:C30" si="4">B27/10000</f>
        <v>0.86329999999999996</v>
      </c>
      <c r="D27" s="23">
        <v>0.28000000000000003</v>
      </c>
      <c r="E27" s="24">
        <f>39802795460-E26</f>
        <v>97460</v>
      </c>
      <c r="F27" s="24">
        <v>3435836</v>
      </c>
      <c r="G27" s="16">
        <f>F27/7721404</f>
        <v>0.44497555107853443</v>
      </c>
      <c r="H27" s="23">
        <v>423.78</v>
      </c>
      <c r="I27" s="24">
        <f>48116608686-I26</f>
        <v>63721206</v>
      </c>
      <c r="J27" s="38"/>
      <c r="K27" s="38"/>
      <c r="M27">
        <v>2000</v>
      </c>
    </row>
    <row r="28" spans="1:13" x14ac:dyDescent="0.25">
      <c r="A28" s="4" t="s">
        <v>27</v>
      </c>
      <c r="B28" s="24">
        <v>8633</v>
      </c>
      <c r="C28" s="25">
        <f t="shared" si="4"/>
        <v>0.86329999999999996</v>
      </c>
      <c r="D28" s="23">
        <v>0.28999999999999998</v>
      </c>
      <c r="E28" s="24">
        <f>39802916867-E27-E26</f>
        <v>121407</v>
      </c>
      <c r="F28" s="24">
        <v>3214220</v>
      </c>
      <c r="G28" s="16">
        <f>F28/7721404</f>
        <v>0.41627403513661504</v>
      </c>
      <c r="H28" s="23">
        <v>142.76</v>
      </c>
      <c r="I28" s="24">
        <f>48156938646-I27-I26</f>
        <v>40329960</v>
      </c>
      <c r="J28" s="38"/>
      <c r="K28" s="38"/>
    </row>
    <row r="29" spans="1:13" x14ac:dyDescent="0.25">
      <c r="A29" s="4" t="s">
        <v>28</v>
      </c>
      <c r="B29" s="24">
        <v>8626</v>
      </c>
      <c r="C29" s="25">
        <f t="shared" si="4"/>
        <v>0.86260000000000003</v>
      </c>
      <c r="D29" s="23">
        <v>7.64</v>
      </c>
      <c r="E29" s="24">
        <f>39811549867-E28-E27-E26</f>
        <v>8633000</v>
      </c>
      <c r="F29" s="24">
        <v>3217526</v>
      </c>
      <c r="G29" s="16">
        <f>F29/7721404</f>
        <v>0.41670219561105726</v>
      </c>
      <c r="H29" s="23">
        <v>4500.8100000000004</v>
      </c>
      <c r="I29" s="24">
        <f>51371158646-I28-I27-I26</f>
        <v>3214220000</v>
      </c>
      <c r="J29" s="38"/>
      <c r="K29" s="38"/>
    </row>
    <row r="30" spans="1:13" x14ac:dyDescent="0.25">
      <c r="A30" s="4" t="s">
        <v>29</v>
      </c>
      <c r="B30" s="24">
        <v>2584</v>
      </c>
      <c r="C30" s="25">
        <f t="shared" si="4"/>
        <v>0.25840000000000002</v>
      </c>
      <c r="D30" s="23">
        <v>584.52</v>
      </c>
      <c r="E30" s="24">
        <f>48444687995-E29-E28-E27-E26</f>
        <v>8633138128</v>
      </c>
      <c r="F30" s="24">
        <v>71095</v>
      </c>
      <c r="G30" s="16">
        <f>F30/7721404</f>
        <v>9.2075223625133467E-3</v>
      </c>
      <c r="H30" s="23">
        <v>5124.55</v>
      </c>
      <c r="I30" s="24">
        <f>57159968866-I29-I28-I27-I26</f>
        <v>5788810220</v>
      </c>
      <c r="J30" s="42">
        <f>H30*2000</f>
        <v>10249100</v>
      </c>
      <c r="K30" s="43">
        <f>I30*2000</f>
        <v>11577620440000</v>
      </c>
    </row>
    <row r="31" spans="1:13" x14ac:dyDescent="0.25">
      <c r="A31" s="6" t="s">
        <v>30</v>
      </c>
      <c r="B31" s="28">
        <f t="shared" ref="B31:I31" si="5">SUM(B26:B30)</f>
        <v>38223</v>
      </c>
      <c r="C31" s="28">
        <f t="shared" si="5"/>
        <v>3.8222999999999998</v>
      </c>
      <c r="D31" s="31">
        <f t="shared" si="5"/>
        <v>2653.48</v>
      </c>
      <c r="E31" s="30">
        <f t="shared" si="5"/>
        <v>48444687995</v>
      </c>
      <c r="F31" s="28">
        <f t="shared" si="5"/>
        <v>15526386</v>
      </c>
      <c r="G31" s="28">
        <f t="shared" si="5"/>
        <v>2.0108241972573895</v>
      </c>
      <c r="H31" s="31">
        <f t="shared" si="5"/>
        <v>16499.060000000001</v>
      </c>
      <c r="I31" s="30">
        <f t="shared" si="5"/>
        <v>57159968866</v>
      </c>
      <c r="J31" s="39">
        <f>H31-H30+J30</f>
        <v>10260474.51</v>
      </c>
      <c r="K31" s="40">
        <f>I31-I30+K30</f>
        <v>11628991598646</v>
      </c>
    </row>
    <row r="32" spans="1:13" x14ac:dyDescent="0.25">
      <c r="D32" s="52"/>
      <c r="H32" s="44" t="s">
        <v>53</v>
      </c>
      <c r="I32" s="44" t="s">
        <v>53</v>
      </c>
    </row>
    <row r="33" spans="2:8" x14ac:dyDescent="0.25">
      <c r="B33" t="s">
        <v>45</v>
      </c>
      <c r="H33" s="52"/>
    </row>
  </sheetData>
  <mergeCells count="15">
    <mergeCell ref="A1:A3"/>
    <mergeCell ref="B1:E1"/>
    <mergeCell ref="F1:I1"/>
    <mergeCell ref="B2:E2"/>
    <mergeCell ref="F2:I2"/>
    <mergeCell ref="A12:A14"/>
    <mergeCell ref="B12:E12"/>
    <mergeCell ref="F12:I12"/>
    <mergeCell ref="B13:E13"/>
    <mergeCell ref="F13:I13"/>
    <mergeCell ref="A23:A25"/>
    <mergeCell ref="B23:E23"/>
    <mergeCell ref="F23:I23"/>
    <mergeCell ref="B24:E24"/>
    <mergeCell ref="F24:I24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C084-8E80-4E84-AD11-A474C3F25177}">
  <dimension ref="A1:Q8"/>
  <sheetViews>
    <sheetView workbookViewId="0">
      <selection activeCell="F30" sqref="F30"/>
    </sheetView>
  </sheetViews>
  <sheetFormatPr baseColWidth="10" defaultRowHeight="15" x14ac:dyDescent="0.25"/>
  <cols>
    <col min="5" max="5" width="13.7109375" customWidth="1"/>
    <col min="9" max="9" width="13.7109375" bestFit="1" customWidth="1"/>
    <col min="12" max="12" width="13" customWidth="1"/>
    <col min="13" max="13" width="13.7109375" customWidth="1"/>
    <col min="15" max="15" width="15" customWidth="1"/>
    <col min="25" max="25" width="12" bestFit="1" customWidth="1"/>
  </cols>
  <sheetData>
    <row r="1" spans="1:17" x14ac:dyDescent="0.25">
      <c r="A1" s="48" t="s">
        <v>46</v>
      </c>
      <c r="B1" s="49" t="s">
        <v>22</v>
      </c>
      <c r="C1" s="49"/>
      <c r="D1" s="49"/>
      <c r="E1" s="49"/>
      <c r="F1" s="49" t="s">
        <v>31</v>
      </c>
      <c r="G1" s="49"/>
      <c r="H1" s="49"/>
      <c r="I1" s="49"/>
      <c r="J1" s="49" t="s">
        <v>23</v>
      </c>
      <c r="K1" s="49"/>
      <c r="L1" s="49"/>
      <c r="M1" s="49"/>
    </row>
    <row r="2" spans="1:17" s="1" customFormat="1" x14ac:dyDescent="0.25">
      <c r="A2" s="48"/>
      <c r="B2" s="49" t="s">
        <v>18</v>
      </c>
      <c r="C2" s="49"/>
      <c r="D2" s="49"/>
      <c r="E2" s="49"/>
      <c r="F2" s="50" t="s">
        <v>20</v>
      </c>
      <c r="G2" s="50"/>
      <c r="H2" s="50"/>
      <c r="I2" s="50"/>
      <c r="J2" s="50" t="s">
        <v>21</v>
      </c>
      <c r="K2" s="50"/>
      <c r="L2" s="50"/>
      <c r="M2" s="50"/>
    </row>
    <row r="3" spans="1:17" s="3" customFormat="1" x14ac:dyDescent="0.25">
      <c r="A3" s="49"/>
      <c r="B3" s="9" t="s">
        <v>32</v>
      </c>
      <c r="C3" s="9" t="s">
        <v>34</v>
      </c>
      <c r="D3" s="9" t="s">
        <v>35</v>
      </c>
      <c r="E3" s="9" t="s">
        <v>33</v>
      </c>
      <c r="F3" s="9" t="s">
        <v>32</v>
      </c>
      <c r="G3" s="9" t="s">
        <v>34</v>
      </c>
      <c r="H3" s="9" t="s">
        <v>35</v>
      </c>
      <c r="I3" s="9" t="s">
        <v>33</v>
      </c>
      <c r="J3" s="9" t="s">
        <v>32</v>
      </c>
      <c r="K3" s="9" t="s">
        <v>34</v>
      </c>
      <c r="L3" s="9" t="s">
        <v>35</v>
      </c>
      <c r="M3" s="9" t="s">
        <v>33</v>
      </c>
      <c r="N3" s="41" t="s">
        <v>50</v>
      </c>
      <c r="O3" s="41" t="s">
        <v>50</v>
      </c>
    </row>
    <row r="4" spans="1:17" x14ac:dyDescent="0.25">
      <c r="A4" s="4" t="s">
        <v>27</v>
      </c>
      <c r="B4" s="15">
        <v>2246</v>
      </c>
      <c r="C4" s="16">
        <f t="shared" ref="C4:C6" si="0">B4/10000</f>
        <v>0.22459999999999999</v>
      </c>
      <c r="D4" s="17">
        <v>16821.71</v>
      </c>
      <c r="E4" s="15">
        <v>17257500000</v>
      </c>
      <c r="F4" s="15">
        <v>14389</v>
      </c>
      <c r="G4" s="25">
        <f>F4/23422</f>
        <v>0.61433694816838869</v>
      </c>
      <c r="H4" s="17">
        <v>20515.3</v>
      </c>
      <c r="I4" s="15">
        <v>17257500000</v>
      </c>
      <c r="J4" s="15">
        <v>1756706</v>
      </c>
      <c r="K4" s="16">
        <f t="shared" ref="K4:K6" si="1">J4/7721404</f>
        <v>0.22751121428175497</v>
      </c>
      <c r="L4" s="17">
        <v>23068.98</v>
      </c>
      <c r="M4" s="15">
        <v>17257500000</v>
      </c>
      <c r="N4" s="38"/>
      <c r="O4" s="38"/>
      <c r="Q4">
        <v>500</v>
      </c>
    </row>
    <row r="5" spans="1:17" x14ac:dyDescent="0.25">
      <c r="A5" s="4" t="s">
        <v>28</v>
      </c>
      <c r="B5" s="15">
        <v>2245</v>
      </c>
      <c r="C5" s="16">
        <f t="shared" si="0"/>
        <v>0.22450000000000001</v>
      </c>
      <c r="D5" s="5">
        <v>2.2200000000000002</v>
      </c>
      <c r="E5" s="15">
        <f>17259746000-E4</f>
        <v>2246000</v>
      </c>
      <c r="F5" s="15">
        <v>14389</v>
      </c>
      <c r="G5" s="25">
        <f t="shared" ref="G5:G6" si="2">F5/23422</f>
        <v>0.61433694816838869</v>
      </c>
      <c r="H5" s="5">
        <v>16.98</v>
      </c>
      <c r="I5" s="15">
        <f>17271889000-I4</f>
        <v>14389000</v>
      </c>
      <c r="J5" s="15">
        <v>1759770</v>
      </c>
      <c r="K5" s="16">
        <f t="shared" si="1"/>
        <v>0.22790803330585993</v>
      </c>
      <c r="L5" s="17">
        <v>2332.6</v>
      </c>
      <c r="M5" s="15">
        <f>19014206000-M4</f>
        <v>1756706000</v>
      </c>
      <c r="N5" s="38"/>
      <c r="O5" s="38"/>
    </row>
    <row r="6" spans="1:17" x14ac:dyDescent="0.25">
      <c r="A6" s="4" t="s">
        <v>29</v>
      </c>
      <c r="B6" s="5">
        <v>162</v>
      </c>
      <c r="C6" s="16">
        <f t="shared" si="0"/>
        <v>1.6199999999999999E-2</v>
      </c>
      <c r="D6" s="5">
        <v>60.19</v>
      </c>
      <c r="E6" s="15">
        <v>561571872</v>
      </c>
      <c r="F6" s="15">
        <v>17079</v>
      </c>
      <c r="G6" s="25">
        <f t="shared" si="2"/>
        <v>0.72918623516352143</v>
      </c>
      <c r="H6" s="5">
        <v>461.03</v>
      </c>
      <c r="I6" s="15">
        <f>20869139000-I5-I4</f>
        <v>3597250000</v>
      </c>
      <c r="J6" s="15">
        <v>16345</v>
      </c>
      <c r="K6" s="16">
        <f t="shared" si="1"/>
        <v>2.1168429990193493E-3</v>
      </c>
      <c r="L6" s="17">
        <v>829.08</v>
      </c>
      <c r="M6" s="15">
        <f>19836344408-M5-M4</f>
        <v>822138408</v>
      </c>
      <c r="N6" s="42">
        <f>L6*500</f>
        <v>414540</v>
      </c>
      <c r="O6" s="43">
        <f>M6*500</f>
        <v>411069204000</v>
      </c>
    </row>
    <row r="7" spans="1:17" x14ac:dyDescent="0.25">
      <c r="A7" s="6" t="s">
        <v>30</v>
      </c>
      <c r="B7" s="11">
        <f t="shared" ref="B7:M7" si="3">SUM(B4:B6)</f>
        <v>4653</v>
      </c>
      <c r="C7" s="11">
        <f t="shared" si="3"/>
        <v>0.46529999999999999</v>
      </c>
      <c r="D7" s="18">
        <f t="shared" si="3"/>
        <v>16884.12</v>
      </c>
      <c r="E7" s="20">
        <f t="shared" si="3"/>
        <v>17821317872</v>
      </c>
      <c r="F7" s="11">
        <f t="shared" si="3"/>
        <v>45857</v>
      </c>
      <c r="G7" s="11">
        <f t="shared" si="3"/>
        <v>1.9578601315002988</v>
      </c>
      <c r="H7" s="18">
        <f t="shared" si="3"/>
        <v>20993.309999999998</v>
      </c>
      <c r="I7" s="20">
        <f t="shared" si="3"/>
        <v>20869139000</v>
      </c>
      <c r="J7" s="11">
        <f t="shared" si="3"/>
        <v>3532821</v>
      </c>
      <c r="K7" s="11">
        <f t="shared" si="3"/>
        <v>0.45753609058663425</v>
      </c>
      <c r="L7" s="18">
        <f>SUM(L4:L6)</f>
        <v>26230.66</v>
      </c>
      <c r="M7" s="20">
        <f t="shared" si="3"/>
        <v>19836344408</v>
      </c>
      <c r="N7" s="39">
        <f>L7-L6+N6</f>
        <v>439941.58</v>
      </c>
      <c r="O7" s="40">
        <f>M7-M6+O6</f>
        <v>430083410000</v>
      </c>
    </row>
    <row r="8" spans="1:17" x14ac:dyDescent="0.25">
      <c r="A8" s="27"/>
      <c r="B8" s="5"/>
      <c r="C8" s="5"/>
      <c r="D8" s="5"/>
      <c r="E8" s="5"/>
      <c r="F8" s="5"/>
      <c r="G8" s="5"/>
      <c r="H8" s="17"/>
      <c r="I8" s="15"/>
      <c r="J8" s="5"/>
      <c r="K8" s="5"/>
      <c r="L8" s="17" t="s">
        <v>51</v>
      </c>
      <c r="M8" s="17" t="s">
        <v>51</v>
      </c>
    </row>
  </sheetData>
  <mergeCells count="7">
    <mergeCell ref="J1:M1"/>
    <mergeCell ref="J2:M2"/>
    <mergeCell ref="A1:A3"/>
    <mergeCell ref="F1:I1"/>
    <mergeCell ref="B2:E2"/>
    <mergeCell ref="F2:I2"/>
    <mergeCell ref="B1:E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F37B3-7100-4E4B-BEFF-06D020758AD7}">
  <dimension ref="A1:G12"/>
  <sheetViews>
    <sheetView workbookViewId="0">
      <selection activeCell="L21" sqref="L21"/>
    </sheetView>
  </sheetViews>
  <sheetFormatPr baseColWidth="10" defaultRowHeight="15" x14ac:dyDescent="0.25"/>
  <cols>
    <col min="5" max="5" width="13.7109375" bestFit="1" customWidth="1"/>
    <col min="13" max="13" width="12" bestFit="1" customWidth="1"/>
  </cols>
  <sheetData>
    <row r="1" spans="1:7" x14ac:dyDescent="0.25">
      <c r="A1" s="48" t="s">
        <v>46</v>
      </c>
      <c r="B1" s="49" t="s">
        <v>22</v>
      </c>
      <c r="C1" s="49"/>
      <c r="D1" s="49"/>
      <c r="E1" s="49"/>
    </row>
    <row r="2" spans="1:7" s="1" customFormat="1" x14ac:dyDescent="0.25">
      <c r="A2" s="48"/>
      <c r="B2" s="49" t="s">
        <v>18</v>
      </c>
      <c r="C2" s="49"/>
      <c r="D2" s="49"/>
      <c r="E2" s="49"/>
    </row>
    <row r="3" spans="1:7" s="3" customFormat="1" x14ac:dyDescent="0.25">
      <c r="A3" s="49"/>
      <c r="B3" s="9" t="s">
        <v>32</v>
      </c>
      <c r="C3" s="9" t="s">
        <v>34</v>
      </c>
      <c r="D3" s="9" t="s">
        <v>35</v>
      </c>
      <c r="E3" s="9" t="s">
        <v>33</v>
      </c>
    </row>
    <row r="4" spans="1:7" x14ac:dyDescent="0.25">
      <c r="A4" s="4" t="s">
        <v>25</v>
      </c>
      <c r="B4" s="15">
        <v>9708</v>
      </c>
      <c r="C4" s="16">
        <f>B4/10000</f>
        <v>0.9708</v>
      </c>
      <c r="D4" s="17">
        <v>12.05</v>
      </c>
      <c r="E4" s="15">
        <v>136040268</v>
      </c>
    </row>
    <row r="5" spans="1:7" x14ac:dyDescent="0.25">
      <c r="A5" s="4" t="s">
        <v>24</v>
      </c>
      <c r="B5" s="15">
        <v>132</v>
      </c>
      <c r="C5" s="16">
        <f t="shared" ref="C5:C9" si="0">B5/10000</f>
        <v>1.32E-2</v>
      </c>
      <c r="D5" s="17">
        <v>6187.08</v>
      </c>
      <c r="E5" s="15">
        <f>956140268-E4</f>
        <v>820100000</v>
      </c>
    </row>
    <row r="6" spans="1:7" x14ac:dyDescent="0.25">
      <c r="A6" s="4" t="s">
        <v>26</v>
      </c>
      <c r="B6" s="15">
        <v>173</v>
      </c>
      <c r="C6" s="16">
        <f t="shared" si="0"/>
        <v>1.7299999999999999E-2</v>
      </c>
      <c r="D6" s="17">
        <v>0.17</v>
      </c>
      <c r="E6" s="15">
        <f>956229500-E5-E4</f>
        <v>89232</v>
      </c>
      <c r="G6">
        <v>500</v>
      </c>
    </row>
    <row r="7" spans="1:7" x14ac:dyDescent="0.25">
      <c r="A7" s="4" t="s">
        <v>27</v>
      </c>
      <c r="B7" s="5">
        <v>1</v>
      </c>
      <c r="C7" s="16">
        <f t="shared" si="0"/>
        <v>1E-4</v>
      </c>
      <c r="D7" s="17">
        <v>16851.41</v>
      </c>
      <c r="E7" s="15">
        <f>12724417514-E6-E5-E4</f>
        <v>11768188014</v>
      </c>
    </row>
    <row r="8" spans="1:7" x14ac:dyDescent="0.25">
      <c r="A8" s="4" t="s">
        <v>28</v>
      </c>
      <c r="B8" s="5">
        <v>1</v>
      </c>
      <c r="C8" s="16">
        <f t="shared" si="0"/>
        <v>1E-4</v>
      </c>
      <c r="D8" s="17">
        <v>0</v>
      </c>
      <c r="E8" s="15">
        <f>12724418514-E7-E6-E5-E4</f>
        <v>1000</v>
      </c>
    </row>
    <row r="9" spans="1:7" x14ac:dyDescent="0.25">
      <c r="A9" s="4" t="s">
        <v>29</v>
      </c>
      <c r="B9" s="5">
        <v>0</v>
      </c>
      <c r="C9" s="16">
        <f t="shared" si="0"/>
        <v>0</v>
      </c>
      <c r="D9" s="17">
        <v>0.26</v>
      </c>
      <c r="E9" s="15">
        <f>12724668546-E8-E7-E6-E5-E4</f>
        <v>250032</v>
      </c>
    </row>
    <row r="10" spans="1:7" x14ac:dyDescent="0.25">
      <c r="A10" s="6" t="s">
        <v>30</v>
      </c>
      <c r="B10" s="11">
        <f>SUM(B4:B9)</f>
        <v>10015</v>
      </c>
      <c r="C10" s="11">
        <f t="shared" ref="C10:E10" si="1">SUM(C4:C9)</f>
        <v>1.0015000000000001</v>
      </c>
      <c r="D10" s="18">
        <f t="shared" si="1"/>
        <v>23050.969999999998</v>
      </c>
      <c r="E10" s="20">
        <f t="shared" si="1"/>
        <v>12724668546</v>
      </c>
    </row>
    <row r="12" spans="1:7" x14ac:dyDescent="0.25">
      <c r="B12" t="s">
        <v>47</v>
      </c>
      <c r="C12" t="s">
        <v>48</v>
      </c>
    </row>
  </sheetData>
  <mergeCells count="3">
    <mergeCell ref="B2:E2"/>
    <mergeCell ref="A1:A3"/>
    <mergeCell ref="B1:E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B193-5077-4CE3-854A-D1B26641C4B9}">
  <dimension ref="A1:O11"/>
  <sheetViews>
    <sheetView workbookViewId="0">
      <selection activeCell="L11" sqref="L11:M11"/>
    </sheetView>
  </sheetViews>
  <sheetFormatPr baseColWidth="10" defaultRowHeight="15" x14ac:dyDescent="0.25"/>
  <cols>
    <col min="5" max="5" width="13.85546875" customWidth="1"/>
    <col min="9" max="9" width="13.7109375" bestFit="1" customWidth="1"/>
    <col min="12" max="12" width="13.7109375" customWidth="1"/>
    <col min="13" max="13" width="13.5703125" customWidth="1"/>
    <col min="15" max="15" width="14" customWidth="1"/>
    <col min="21" max="21" width="12" bestFit="1" customWidth="1"/>
  </cols>
  <sheetData>
    <row r="1" spans="1:15" x14ac:dyDescent="0.25">
      <c r="A1" s="48" t="s">
        <v>46</v>
      </c>
      <c r="B1" s="49" t="s">
        <v>22</v>
      </c>
      <c r="C1" s="49"/>
      <c r="D1" s="49"/>
      <c r="E1" s="49"/>
      <c r="F1" s="49" t="s">
        <v>31</v>
      </c>
      <c r="G1" s="49"/>
      <c r="H1" s="49"/>
      <c r="I1" s="49"/>
      <c r="J1" s="49" t="s">
        <v>23</v>
      </c>
      <c r="K1" s="49"/>
      <c r="L1" s="49"/>
      <c r="M1" s="49"/>
    </row>
    <row r="2" spans="1:15" s="1" customFormat="1" x14ac:dyDescent="0.25">
      <c r="A2" s="48"/>
      <c r="B2" s="49" t="s">
        <v>18</v>
      </c>
      <c r="C2" s="49"/>
      <c r="D2" s="49"/>
      <c r="E2" s="49"/>
      <c r="F2" s="50" t="s">
        <v>20</v>
      </c>
      <c r="G2" s="50"/>
      <c r="H2" s="50"/>
      <c r="I2" s="50"/>
      <c r="J2" s="50" t="s">
        <v>21</v>
      </c>
      <c r="K2" s="50"/>
      <c r="L2" s="50"/>
      <c r="M2" s="50"/>
    </row>
    <row r="3" spans="1:15" s="3" customFormat="1" x14ac:dyDescent="0.25">
      <c r="A3" s="49"/>
      <c r="B3" s="9" t="s">
        <v>32</v>
      </c>
      <c r="C3" s="9" t="s">
        <v>34</v>
      </c>
      <c r="D3" s="9" t="s">
        <v>35</v>
      </c>
      <c r="E3" s="9" t="s">
        <v>33</v>
      </c>
      <c r="F3" s="9" t="s">
        <v>32</v>
      </c>
      <c r="G3" s="9" t="s">
        <v>34</v>
      </c>
      <c r="H3" s="9" t="s">
        <v>35</v>
      </c>
      <c r="I3" s="9" t="s">
        <v>33</v>
      </c>
      <c r="J3" s="9" t="s">
        <v>32</v>
      </c>
      <c r="K3" s="9" t="s">
        <v>34</v>
      </c>
      <c r="L3" s="9" t="s">
        <v>35</v>
      </c>
      <c r="M3" s="9" t="s">
        <v>33</v>
      </c>
      <c r="N3" s="41" t="s">
        <v>50</v>
      </c>
      <c r="O3" s="41" t="s">
        <v>50</v>
      </c>
    </row>
    <row r="4" spans="1:15" x14ac:dyDescent="0.25">
      <c r="A4" s="4" t="s">
        <v>24</v>
      </c>
      <c r="B4" s="15">
        <v>1799</v>
      </c>
      <c r="C4" s="10">
        <f>B4/10000</f>
        <v>0.1799</v>
      </c>
      <c r="D4" s="5">
        <v>69.63</v>
      </c>
      <c r="E4" s="15">
        <v>628173000</v>
      </c>
      <c r="F4" s="15">
        <v>15185</v>
      </c>
      <c r="G4" s="16">
        <f>F4/23422</f>
        <v>0.64832209034241317</v>
      </c>
      <c r="H4" s="17">
        <v>203.17</v>
      </c>
      <c r="I4" s="15">
        <v>1794780000</v>
      </c>
      <c r="J4" s="15">
        <v>3214508</v>
      </c>
      <c r="K4" s="16">
        <f>J4/7721404</f>
        <v>0.41631133405271892</v>
      </c>
      <c r="L4" s="17">
        <v>396.06</v>
      </c>
      <c r="M4" s="15">
        <v>1794780000</v>
      </c>
      <c r="N4" s="38"/>
      <c r="O4" s="38"/>
    </row>
    <row r="5" spans="1:15" x14ac:dyDescent="0.25">
      <c r="A5" s="4" t="s">
        <v>25</v>
      </c>
      <c r="B5" s="15">
        <v>912</v>
      </c>
      <c r="C5" s="10">
        <f t="shared" ref="C5:C9" si="0">B5/10000</f>
        <v>9.1200000000000003E-2</v>
      </c>
      <c r="D5" s="5">
        <v>0.38</v>
      </c>
      <c r="E5" s="15">
        <f>628198836-E4</f>
        <v>25836</v>
      </c>
      <c r="F5" s="15">
        <v>7437</v>
      </c>
      <c r="G5" s="16">
        <f t="shared" ref="G5:G9" si="1">F5/23422</f>
        <v>0.31752198787464775</v>
      </c>
      <c r="H5" s="17">
        <v>0.83</v>
      </c>
      <c r="I5" s="15">
        <f>1794924523-I4</f>
        <v>144523</v>
      </c>
      <c r="J5" s="15">
        <v>2155440</v>
      </c>
      <c r="K5" s="16">
        <f t="shared" ref="K5:K9" si="2">J5/7721404</f>
        <v>0.27915130460729681</v>
      </c>
      <c r="L5" s="17">
        <v>244.12</v>
      </c>
      <c r="M5" s="15">
        <f>1828044086-M4</f>
        <v>33264086</v>
      </c>
      <c r="N5" s="38"/>
      <c r="O5" s="38"/>
    </row>
    <row r="6" spans="1:15" x14ac:dyDescent="0.25">
      <c r="A6" s="4" t="s">
        <v>26</v>
      </c>
      <c r="B6" s="15">
        <v>688</v>
      </c>
      <c r="C6" s="10">
        <f t="shared" si="0"/>
        <v>6.88E-2</v>
      </c>
      <c r="D6" s="5">
        <v>0.01</v>
      </c>
      <c r="E6" s="15">
        <f>628199997-E5-E4</f>
        <v>1161</v>
      </c>
      <c r="F6" s="15">
        <v>5539</v>
      </c>
      <c r="G6" s="16">
        <f t="shared" si="1"/>
        <v>0.23648706344462472</v>
      </c>
      <c r="H6" s="17">
        <v>0.09</v>
      </c>
      <c r="I6" s="15">
        <f>1794935314-I5-I4</f>
        <v>10791</v>
      </c>
      <c r="J6" s="15">
        <v>1781081</v>
      </c>
      <c r="K6" s="16">
        <f t="shared" si="2"/>
        <v>0.23066802358742011</v>
      </c>
      <c r="L6" s="17">
        <v>188.83</v>
      </c>
      <c r="M6" s="15">
        <f>1833108952-M5-M4</f>
        <v>5064866</v>
      </c>
      <c r="N6" s="38"/>
      <c r="O6" s="38"/>
    </row>
    <row r="7" spans="1:15" x14ac:dyDescent="0.25">
      <c r="A7" s="4" t="s">
        <v>27</v>
      </c>
      <c r="B7" s="15">
        <v>305</v>
      </c>
      <c r="C7" s="10">
        <f t="shared" si="0"/>
        <v>3.0499999999999999E-2</v>
      </c>
      <c r="D7" s="5">
        <v>0.01</v>
      </c>
      <c r="E7" s="15">
        <f>628202250-E6-E5-E4</f>
        <v>2253</v>
      </c>
      <c r="F7" s="15">
        <v>4575</v>
      </c>
      <c r="G7" s="16">
        <f t="shared" si="1"/>
        <v>0.19532917769618308</v>
      </c>
      <c r="H7" s="17">
        <v>0.08</v>
      </c>
      <c r="I7" s="15">
        <f>1794950300-I6-I5-I4</f>
        <v>14986</v>
      </c>
      <c r="J7" s="15">
        <v>1562179</v>
      </c>
      <c r="K7" s="16">
        <f t="shared" si="2"/>
        <v>0.20231799812572945</v>
      </c>
      <c r="L7" s="17">
        <v>131.44</v>
      </c>
      <c r="M7" s="15">
        <f>1839177854-M6-M5-M4</f>
        <v>6068902</v>
      </c>
      <c r="N7" s="38"/>
      <c r="O7" s="38"/>
    </row>
    <row r="8" spans="1:15" x14ac:dyDescent="0.25">
      <c r="A8" s="4" t="s">
        <v>28</v>
      </c>
      <c r="B8" s="15">
        <v>304</v>
      </c>
      <c r="C8" s="10">
        <f t="shared" si="0"/>
        <v>3.04E-2</v>
      </c>
      <c r="D8" s="17">
        <v>0.33</v>
      </c>
      <c r="E8" s="15">
        <f>628507250-E7-E6-E5-E4</f>
        <v>305000</v>
      </c>
      <c r="F8" s="15">
        <v>4575</v>
      </c>
      <c r="G8" s="16">
        <f t="shared" si="1"/>
        <v>0.19532917769618308</v>
      </c>
      <c r="H8" s="17">
        <v>5.52</v>
      </c>
      <c r="I8" s="15">
        <f>1799525300-I7-I6-I5-I4</f>
        <v>4575000</v>
      </c>
      <c r="J8" s="15">
        <v>1565056</v>
      </c>
      <c r="K8" s="16">
        <f t="shared" si="2"/>
        <v>0.20269059875639198</v>
      </c>
      <c r="L8" s="17">
        <v>2217.79</v>
      </c>
      <c r="M8" s="15">
        <f>3401356854-M7-M6-M5-M4</f>
        <v>1562179000</v>
      </c>
      <c r="N8" s="38"/>
      <c r="O8" s="38"/>
    </row>
    <row r="9" spans="1:15" x14ac:dyDescent="0.25">
      <c r="A9" s="4" t="s">
        <v>29</v>
      </c>
      <c r="B9" s="15">
        <v>1</v>
      </c>
      <c r="C9" s="10">
        <f t="shared" si="0"/>
        <v>1E-4</v>
      </c>
      <c r="D9" s="17">
        <v>4.0999999999999996</v>
      </c>
      <c r="E9" s="15">
        <f>659068250-E8-E7-E6-E5-E4</f>
        <v>30561000</v>
      </c>
      <c r="F9" s="15">
        <v>580</v>
      </c>
      <c r="G9" s="16">
        <f t="shared" si="1"/>
        <v>2.4763043292630859E-2</v>
      </c>
      <c r="H9" s="17">
        <v>36.83</v>
      </c>
      <c r="I9" s="15">
        <f>2072282225-I8-I7-I6-I5-I4</f>
        <v>272756925</v>
      </c>
      <c r="J9" s="15">
        <v>15792</v>
      </c>
      <c r="K9" s="16">
        <f t="shared" si="2"/>
        <v>2.0452238996949259E-3</v>
      </c>
      <c r="L9" s="17">
        <v>310.7</v>
      </c>
      <c r="M9" s="15">
        <f>3587256155-M8-M7-M6-M5-M4</f>
        <v>185899301</v>
      </c>
      <c r="N9" s="42">
        <f>L9*500</f>
        <v>155350</v>
      </c>
      <c r="O9" s="43">
        <f>M9*500</f>
        <v>92949650500</v>
      </c>
    </row>
    <row r="10" spans="1:15" x14ac:dyDescent="0.25">
      <c r="A10" s="6" t="s">
        <v>30</v>
      </c>
      <c r="B10" s="11">
        <f>SUM(B4:B9)</f>
        <v>4009</v>
      </c>
      <c r="C10" s="11">
        <f t="shared" ref="C10:M10" si="3">SUM(C4:C9)</f>
        <v>0.40089999999999992</v>
      </c>
      <c r="D10" s="7">
        <f t="shared" si="3"/>
        <v>74.459999999999994</v>
      </c>
      <c r="E10" s="20">
        <f t="shared" si="3"/>
        <v>659068250</v>
      </c>
      <c r="F10" s="11">
        <f t="shared" si="3"/>
        <v>37891</v>
      </c>
      <c r="G10" s="11">
        <f t="shared" si="3"/>
        <v>1.6177525403466828</v>
      </c>
      <c r="H10" s="7">
        <f t="shared" si="3"/>
        <v>246.52000000000004</v>
      </c>
      <c r="I10" s="20">
        <f t="shared" si="3"/>
        <v>2072282225</v>
      </c>
      <c r="J10" s="11">
        <f t="shared" si="3"/>
        <v>10294056</v>
      </c>
      <c r="K10" s="11">
        <f t="shared" si="3"/>
        <v>1.3331844830292523</v>
      </c>
      <c r="L10" s="18">
        <f t="shared" si="3"/>
        <v>3488.9399999999996</v>
      </c>
      <c r="M10" s="20">
        <f t="shared" si="3"/>
        <v>3587256155</v>
      </c>
      <c r="N10" s="39">
        <f>L10-L9+N9</f>
        <v>158528.24</v>
      </c>
      <c r="O10" s="40">
        <f>M10-M9+O9</f>
        <v>96351007354</v>
      </c>
    </row>
    <row r="11" spans="1:15" x14ac:dyDescent="0.25">
      <c r="A11" s="27"/>
      <c r="B11" s="5"/>
      <c r="C11" s="5"/>
      <c r="D11" s="5"/>
      <c r="E11" s="15"/>
      <c r="F11" s="5"/>
      <c r="G11" s="5"/>
      <c r="H11" s="5"/>
      <c r="I11" s="15"/>
      <c r="J11" s="5"/>
      <c r="K11" s="5"/>
      <c r="L11" s="17" t="s">
        <v>51</v>
      </c>
      <c r="M11" s="17" t="s">
        <v>51</v>
      </c>
    </row>
  </sheetData>
  <mergeCells count="7">
    <mergeCell ref="A1:A3"/>
    <mergeCell ref="B1:E1"/>
    <mergeCell ref="F1:I1"/>
    <mergeCell ref="J1:M1"/>
    <mergeCell ref="B2:E2"/>
    <mergeCell ref="F2:I2"/>
    <mergeCell ref="J2:M2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51D9-9CFD-461F-80C8-B6D659D31D8E}">
  <dimension ref="A1:I46"/>
  <sheetViews>
    <sheetView tabSelected="1" workbookViewId="0">
      <selection activeCell="H26" sqref="H26"/>
    </sheetView>
  </sheetViews>
  <sheetFormatPr baseColWidth="10" defaultRowHeight="15" x14ac:dyDescent="0.25"/>
  <sheetData>
    <row r="1" spans="1:9" x14ac:dyDescent="0.25">
      <c r="A1" s="48" t="s">
        <v>17</v>
      </c>
      <c r="B1" s="49" t="s">
        <v>22</v>
      </c>
      <c r="C1" s="49"/>
      <c r="D1" s="49"/>
      <c r="E1" s="49"/>
      <c r="F1" s="49"/>
      <c r="G1" s="49"/>
      <c r="H1" s="14"/>
      <c r="I1" s="14"/>
    </row>
    <row r="2" spans="1:9" x14ac:dyDescent="0.25">
      <c r="A2" s="48"/>
      <c r="B2" s="50" t="s">
        <v>36</v>
      </c>
      <c r="C2" s="50"/>
      <c r="D2" s="50"/>
      <c r="E2" s="50" t="s">
        <v>37</v>
      </c>
      <c r="F2" s="50"/>
      <c r="G2" s="50"/>
      <c r="H2" s="14"/>
      <c r="I2" s="14"/>
    </row>
    <row r="3" spans="1:9" x14ac:dyDescent="0.25">
      <c r="A3" s="49"/>
      <c r="B3" s="9" t="s">
        <v>32</v>
      </c>
      <c r="C3" s="9" t="s">
        <v>34</v>
      </c>
      <c r="D3" s="9" t="s">
        <v>35</v>
      </c>
      <c r="E3" s="9" t="s">
        <v>32</v>
      </c>
      <c r="F3" s="9" t="s">
        <v>34</v>
      </c>
      <c r="G3" s="9" t="s">
        <v>35</v>
      </c>
    </row>
    <row r="4" spans="1:9" x14ac:dyDescent="0.25">
      <c r="A4" s="4" t="s">
        <v>24</v>
      </c>
      <c r="B4" s="15">
        <v>7665</v>
      </c>
      <c r="C4" s="10">
        <f t="shared" ref="C4:C7" si="0">B4/10000</f>
        <v>0.76649999999999996</v>
      </c>
      <c r="D4" s="17">
        <v>7405.94</v>
      </c>
      <c r="E4" s="15">
        <v>7589</v>
      </c>
      <c r="F4" s="16">
        <f>E4/10000</f>
        <v>0.75890000000000002</v>
      </c>
      <c r="G4" s="17">
        <v>7489.69</v>
      </c>
      <c r="I4">
        <v>500</v>
      </c>
    </row>
    <row r="5" spans="1:9" x14ac:dyDescent="0.25">
      <c r="A5" s="4" t="s">
        <v>25</v>
      </c>
      <c r="B5" s="15">
        <v>5501</v>
      </c>
      <c r="C5" s="10">
        <f t="shared" si="0"/>
        <v>0.55010000000000003</v>
      </c>
      <c r="D5" s="17">
        <v>52637.08</v>
      </c>
      <c r="E5" s="15">
        <v>5589</v>
      </c>
      <c r="F5" s="16">
        <f t="shared" ref="F5:F8" si="1">E5/10000</f>
        <v>0.55889999999999995</v>
      </c>
      <c r="G5" s="17">
        <v>50729.79</v>
      </c>
      <c r="I5" t="s">
        <v>38</v>
      </c>
    </row>
    <row r="6" spans="1:9" x14ac:dyDescent="0.25">
      <c r="A6" s="4" t="s">
        <v>27</v>
      </c>
      <c r="B6" s="15">
        <v>1992</v>
      </c>
      <c r="C6" s="10">
        <f t="shared" si="0"/>
        <v>0.19919999999999999</v>
      </c>
      <c r="D6" s="17">
        <v>4.33</v>
      </c>
      <c r="E6" s="15">
        <v>1944</v>
      </c>
      <c r="F6" s="16">
        <f t="shared" si="1"/>
        <v>0.19439999999999999</v>
      </c>
      <c r="G6" s="17">
        <v>4.29</v>
      </c>
    </row>
    <row r="7" spans="1:9" x14ac:dyDescent="0.25">
      <c r="A7" s="4" t="s">
        <v>28</v>
      </c>
      <c r="B7" s="15">
        <v>1991</v>
      </c>
      <c r="C7" s="10">
        <f t="shared" si="0"/>
        <v>0.1991</v>
      </c>
      <c r="D7" s="17">
        <v>3.61</v>
      </c>
      <c r="E7" s="15">
        <v>1942</v>
      </c>
      <c r="F7" s="16">
        <f t="shared" si="1"/>
        <v>0.19420000000000001</v>
      </c>
      <c r="G7" s="17">
        <v>3.48</v>
      </c>
    </row>
    <row r="8" spans="1:9" x14ac:dyDescent="0.25">
      <c r="A8" s="4" t="s">
        <v>29</v>
      </c>
      <c r="B8" s="5">
        <v>120</v>
      </c>
      <c r="C8" s="10">
        <f>B8/10000</f>
        <v>1.2E-2</v>
      </c>
      <c r="D8" s="17">
        <v>763</v>
      </c>
      <c r="E8" s="5">
        <v>137</v>
      </c>
      <c r="F8" s="16">
        <f t="shared" si="1"/>
        <v>1.37E-2</v>
      </c>
      <c r="G8" s="17">
        <v>743.65</v>
      </c>
    </row>
    <row r="9" spans="1:9" x14ac:dyDescent="0.25">
      <c r="A9" s="6" t="s">
        <v>30</v>
      </c>
      <c r="B9" s="11">
        <f>SUM(B4:B8)</f>
        <v>17269</v>
      </c>
      <c r="C9" s="11">
        <f t="shared" ref="C9:G9" si="2">SUM(C4:C8)</f>
        <v>1.7269000000000001</v>
      </c>
      <c r="D9" s="18">
        <f t="shared" si="2"/>
        <v>60813.960000000006</v>
      </c>
      <c r="E9" s="11">
        <f t="shared" si="2"/>
        <v>17201</v>
      </c>
      <c r="F9" s="11">
        <f t="shared" si="2"/>
        <v>1.7201</v>
      </c>
      <c r="G9" s="18">
        <f t="shared" si="2"/>
        <v>58970.900000000009</v>
      </c>
    </row>
    <row r="10" spans="1:9" x14ac:dyDescent="0.25">
      <c r="G10" s="33"/>
    </row>
    <row r="12" spans="1:9" x14ac:dyDescent="0.25">
      <c r="A12" s="48" t="s">
        <v>17</v>
      </c>
      <c r="B12" s="49" t="s">
        <v>22</v>
      </c>
      <c r="C12" s="49"/>
      <c r="D12" s="49"/>
    </row>
    <row r="13" spans="1:9" x14ac:dyDescent="0.25">
      <c r="A13" s="48"/>
      <c r="B13" s="50" t="s">
        <v>36</v>
      </c>
      <c r="C13" s="50"/>
      <c r="D13" s="50"/>
    </row>
    <row r="14" spans="1:9" x14ac:dyDescent="0.25">
      <c r="A14" s="49"/>
      <c r="B14" s="9" t="s">
        <v>32</v>
      </c>
      <c r="C14" s="9" t="s">
        <v>34</v>
      </c>
      <c r="D14" s="9" t="s">
        <v>35</v>
      </c>
    </row>
    <row r="15" spans="1:9" x14ac:dyDescent="0.25">
      <c r="A15" s="4" t="s">
        <v>26</v>
      </c>
      <c r="B15" s="15">
        <v>5576</v>
      </c>
      <c r="C15" s="10">
        <f>B15/10000</f>
        <v>0.55759999999999998</v>
      </c>
      <c r="D15" s="17">
        <v>140380.56</v>
      </c>
      <c r="I15">
        <v>500</v>
      </c>
    </row>
    <row r="16" spans="1:9" x14ac:dyDescent="0.25">
      <c r="A16" s="4" t="s">
        <v>27</v>
      </c>
      <c r="B16" s="15">
        <v>1992</v>
      </c>
      <c r="C16" s="10">
        <f t="shared" ref="C16:C18" si="3">B16/10000</f>
        <v>0.19919999999999999</v>
      </c>
      <c r="D16" s="17">
        <v>2.96</v>
      </c>
      <c r="I16" t="s">
        <v>39</v>
      </c>
    </row>
    <row r="17" spans="1:7" x14ac:dyDescent="0.25">
      <c r="A17" s="4" t="s">
        <v>28</v>
      </c>
      <c r="B17" s="15">
        <v>1991</v>
      </c>
      <c r="C17" s="10">
        <f t="shared" si="3"/>
        <v>0.1991</v>
      </c>
      <c r="D17" s="17">
        <v>6.93</v>
      </c>
    </row>
    <row r="18" spans="1:7" x14ac:dyDescent="0.25">
      <c r="A18" s="4" t="s">
        <v>29</v>
      </c>
      <c r="B18" s="5">
        <v>120</v>
      </c>
      <c r="C18" s="10">
        <f t="shared" si="3"/>
        <v>1.2E-2</v>
      </c>
      <c r="D18" s="17">
        <v>724.41</v>
      </c>
    </row>
    <row r="19" spans="1:7" x14ac:dyDescent="0.25">
      <c r="A19" s="6" t="s">
        <v>30</v>
      </c>
      <c r="B19" s="11"/>
      <c r="C19" s="11"/>
      <c r="D19" s="18">
        <f>SUM(D15:D18)</f>
        <v>141114.85999999999</v>
      </c>
    </row>
    <row r="20" spans="1:7" x14ac:dyDescent="0.25">
      <c r="A20" s="54"/>
      <c r="B20" s="56"/>
      <c r="C20" s="56"/>
      <c r="D20" s="55"/>
    </row>
    <row r="21" spans="1:7" x14ac:dyDescent="0.25">
      <c r="B21" s="52"/>
      <c r="C21" s="52"/>
    </row>
    <row r="22" spans="1:7" s="22" customFormat="1" x14ac:dyDescent="0.25"/>
    <row r="25" spans="1:7" x14ac:dyDescent="0.25">
      <c r="A25" s="48" t="s">
        <v>17</v>
      </c>
      <c r="B25" s="49" t="s">
        <v>40</v>
      </c>
      <c r="C25" s="49"/>
      <c r="D25" s="49"/>
      <c r="E25" s="49" t="s">
        <v>41</v>
      </c>
      <c r="F25" s="49"/>
      <c r="G25" s="49"/>
    </row>
    <row r="26" spans="1:7" x14ac:dyDescent="0.25">
      <c r="A26" s="49"/>
      <c r="B26" s="9" t="s">
        <v>32</v>
      </c>
      <c r="C26" s="9" t="s">
        <v>34</v>
      </c>
      <c r="D26" s="9" t="s">
        <v>35</v>
      </c>
      <c r="E26" s="9" t="s">
        <v>32</v>
      </c>
      <c r="F26" s="9" t="s">
        <v>34</v>
      </c>
      <c r="G26" s="9" t="s">
        <v>35</v>
      </c>
    </row>
    <row r="27" spans="1:7" x14ac:dyDescent="0.25">
      <c r="A27" s="4" t="s">
        <v>24</v>
      </c>
      <c r="B27" s="15">
        <v>4200</v>
      </c>
      <c r="C27" s="10">
        <f>B27/10000</f>
        <v>0.42</v>
      </c>
      <c r="D27" s="17">
        <v>7282.05</v>
      </c>
      <c r="E27" s="17" t="s">
        <v>42</v>
      </c>
      <c r="F27" s="17" t="s">
        <v>42</v>
      </c>
      <c r="G27" s="17" t="s">
        <v>42</v>
      </c>
    </row>
    <row r="28" spans="1:7" x14ac:dyDescent="0.25">
      <c r="A28" s="4" t="s">
        <v>25</v>
      </c>
      <c r="B28" s="15">
        <v>3106</v>
      </c>
      <c r="C28" s="10">
        <f t="shared" ref="C28:C31" si="4">B28/10000</f>
        <v>0.31059999999999999</v>
      </c>
      <c r="D28" s="17">
        <v>44204.74</v>
      </c>
      <c r="E28" s="17" t="s">
        <v>42</v>
      </c>
      <c r="F28" s="17" t="s">
        <v>42</v>
      </c>
      <c r="G28" s="17" t="s">
        <v>42</v>
      </c>
    </row>
    <row r="29" spans="1:7" x14ac:dyDescent="0.25">
      <c r="A29" s="4" t="s">
        <v>26</v>
      </c>
      <c r="B29" s="17" t="s">
        <v>42</v>
      </c>
      <c r="C29" s="17" t="s">
        <v>42</v>
      </c>
      <c r="D29" s="17" t="s">
        <v>42</v>
      </c>
      <c r="E29" s="15">
        <v>2953</v>
      </c>
      <c r="F29" s="16">
        <f>E29/10000</f>
        <v>0.29530000000000001</v>
      </c>
      <c r="G29" s="5">
        <v>140918.03</v>
      </c>
    </row>
    <row r="30" spans="1:7" x14ac:dyDescent="0.25">
      <c r="A30" s="4" t="s">
        <v>27</v>
      </c>
      <c r="B30" s="15">
        <v>1052</v>
      </c>
      <c r="C30" s="10">
        <f t="shared" si="4"/>
        <v>0.1052</v>
      </c>
      <c r="D30" s="5">
        <v>2.93</v>
      </c>
      <c r="E30" s="15">
        <v>1053</v>
      </c>
      <c r="F30" s="16">
        <f t="shared" ref="F30:F31" si="5">E30/10000</f>
        <v>0.1053</v>
      </c>
      <c r="G30" s="5">
        <v>1.55</v>
      </c>
    </row>
    <row r="31" spans="1:7" x14ac:dyDescent="0.25">
      <c r="A31" s="4" t="s">
        <v>28</v>
      </c>
      <c r="B31" s="15">
        <v>1051</v>
      </c>
      <c r="C31" s="10">
        <f t="shared" si="4"/>
        <v>0.1051</v>
      </c>
      <c r="D31" s="5">
        <v>1.67</v>
      </c>
      <c r="E31" s="15">
        <v>1052</v>
      </c>
      <c r="F31" s="16">
        <f t="shared" si="5"/>
        <v>0.1052</v>
      </c>
      <c r="G31" s="5">
        <v>3.73</v>
      </c>
    </row>
    <row r="32" spans="1:7" x14ac:dyDescent="0.25">
      <c r="A32" s="4" t="s">
        <v>29</v>
      </c>
      <c r="B32" s="17" t="s">
        <v>42</v>
      </c>
      <c r="C32" s="17" t="s">
        <v>42</v>
      </c>
      <c r="D32" s="13" t="s">
        <v>42</v>
      </c>
      <c r="E32" s="17" t="s">
        <v>42</v>
      </c>
      <c r="F32" s="17" t="s">
        <v>42</v>
      </c>
      <c r="G32" s="13" t="s">
        <v>42</v>
      </c>
    </row>
    <row r="33" spans="1:7" x14ac:dyDescent="0.25">
      <c r="A33" s="6" t="s">
        <v>30</v>
      </c>
      <c r="B33" s="11"/>
      <c r="C33" s="11"/>
      <c r="D33" s="18">
        <f>D27+D28+D30+D31</f>
        <v>51491.39</v>
      </c>
      <c r="E33" s="19"/>
      <c r="F33" s="19"/>
      <c r="G33" s="18">
        <f>G29+G30+G31</f>
        <v>140923.31</v>
      </c>
    </row>
    <row r="39" spans="1:7" x14ac:dyDescent="0.25">
      <c r="A39" s="26"/>
      <c r="B39" s="1"/>
    </row>
    <row r="40" spans="1:7" x14ac:dyDescent="0.25">
      <c r="A40" s="3"/>
    </row>
    <row r="41" spans="1:7" x14ac:dyDescent="0.25">
      <c r="A41" s="3"/>
    </row>
    <row r="42" spans="1:7" x14ac:dyDescent="0.25">
      <c r="A42" s="3"/>
    </row>
    <row r="43" spans="1:7" x14ac:dyDescent="0.25">
      <c r="A43" s="3"/>
    </row>
    <row r="44" spans="1:7" x14ac:dyDescent="0.25">
      <c r="A44" s="3"/>
    </row>
    <row r="45" spans="1:7" x14ac:dyDescent="0.25">
      <c r="A45" s="3"/>
    </row>
    <row r="46" spans="1:7" x14ac:dyDescent="0.25">
      <c r="A46" s="3"/>
    </row>
  </sheetData>
  <mergeCells count="10">
    <mergeCell ref="E25:G25"/>
    <mergeCell ref="A1:A3"/>
    <mergeCell ref="E2:G2"/>
    <mergeCell ref="B2:D2"/>
    <mergeCell ref="B1:G1"/>
    <mergeCell ref="A12:A14"/>
    <mergeCell ref="B13:D13"/>
    <mergeCell ref="B12:D12"/>
    <mergeCell ref="A25:A26"/>
    <mergeCell ref="B25:D25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D46E-A54F-4AD2-AD0D-EC9B299836F5}">
  <dimension ref="A1:S90"/>
  <sheetViews>
    <sheetView topLeftCell="A28" workbookViewId="0">
      <selection activeCell="H45" sqref="H44:H45"/>
    </sheetView>
  </sheetViews>
  <sheetFormatPr baseColWidth="10" defaultRowHeight="15" x14ac:dyDescent="0.25"/>
  <cols>
    <col min="5" max="5" width="12.7109375" bestFit="1" customWidth="1"/>
    <col min="15" max="15" width="13.7109375" bestFit="1" customWidth="1"/>
    <col min="29" max="29" width="12" bestFit="1" customWidth="1"/>
  </cols>
  <sheetData>
    <row r="1" spans="1:19" s="1" customFormat="1" x14ac:dyDescent="0.25">
      <c r="A1" s="48" t="s">
        <v>49</v>
      </c>
      <c r="B1" s="51" t="s">
        <v>18</v>
      </c>
      <c r="C1" s="51"/>
      <c r="D1" s="51"/>
      <c r="E1" s="51"/>
      <c r="F1" s="14"/>
      <c r="G1" s="14"/>
      <c r="H1" s="14"/>
      <c r="I1" s="14"/>
      <c r="J1" s="14"/>
      <c r="K1" s="48" t="s">
        <v>49</v>
      </c>
      <c r="L1" s="51" t="s">
        <v>18</v>
      </c>
      <c r="M1" s="51"/>
      <c r="N1" s="51"/>
      <c r="O1" s="51"/>
    </row>
    <row r="2" spans="1:19" s="3" customFormat="1" x14ac:dyDescent="0.25">
      <c r="A2" s="49"/>
      <c r="B2" s="9" t="s">
        <v>32</v>
      </c>
      <c r="C2" s="9" t="s">
        <v>34</v>
      </c>
      <c r="D2" s="9" t="s">
        <v>35</v>
      </c>
      <c r="E2" s="9" t="s">
        <v>33</v>
      </c>
      <c r="F2" s="4"/>
      <c r="G2" s="4"/>
      <c r="H2" s="4"/>
      <c r="I2" s="4"/>
      <c r="J2" s="4"/>
      <c r="K2" s="49"/>
      <c r="L2" s="9" t="s">
        <v>32</v>
      </c>
      <c r="M2" s="9" t="s">
        <v>34</v>
      </c>
      <c r="N2" s="9" t="s">
        <v>35</v>
      </c>
      <c r="O2" s="9" t="s">
        <v>33</v>
      </c>
    </row>
    <row r="3" spans="1:19" x14ac:dyDescent="0.25">
      <c r="A3" s="4" t="s">
        <v>24</v>
      </c>
      <c r="B3" s="24">
        <v>8617</v>
      </c>
      <c r="C3" s="25">
        <v>0.86170000000000002</v>
      </c>
      <c r="D3" s="21">
        <v>778.48</v>
      </c>
      <c r="E3" s="24">
        <v>897390000</v>
      </c>
      <c r="F3" s="21"/>
      <c r="G3" s="21"/>
      <c r="H3" s="21"/>
      <c r="I3" s="21"/>
      <c r="J3" s="21"/>
      <c r="K3" s="4" t="s">
        <v>25</v>
      </c>
      <c r="L3" s="15">
        <v>5864</v>
      </c>
      <c r="M3" s="16">
        <f>L3/10000</f>
        <v>0.58640000000000003</v>
      </c>
      <c r="N3" s="17">
        <v>7625.1</v>
      </c>
      <c r="O3" s="15">
        <v>8333715780</v>
      </c>
    </row>
    <row r="4" spans="1:19" x14ac:dyDescent="0.25">
      <c r="A4" s="4" t="s">
        <v>26</v>
      </c>
      <c r="B4" s="24">
        <v>8614</v>
      </c>
      <c r="C4" s="25">
        <v>0.86170000000000002</v>
      </c>
      <c r="D4" s="21">
        <v>11.26</v>
      </c>
      <c r="E4" s="24">
        <v>5825092</v>
      </c>
      <c r="F4" s="21"/>
      <c r="G4" s="21"/>
      <c r="H4" s="21"/>
      <c r="I4" s="21"/>
      <c r="J4" s="21"/>
      <c r="K4" s="4" t="s">
        <v>26</v>
      </c>
      <c r="L4" s="15">
        <v>4056</v>
      </c>
      <c r="M4" s="16">
        <f t="shared" ref="M4:M7" si="0">L4/10000</f>
        <v>0.40560000000000002</v>
      </c>
      <c r="N4" s="17">
        <v>0.08</v>
      </c>
      <c r="O4" s="15">
        <v>20336</v>
      </c>
    </row>
    <row r="5" spans="1:19" x14ac:dyDescent="0.25">
      <c r="A5" s="4" t="s">
        <v>27</v>
      </c>
      <c r="B5" s="24">
        <v>2246</v>
      </c>
      <c r="C5" s="25">
        <v>0.86170000000000002</v>
      </c>
      <c r="D5" s="21">
        <v>0.06</v>
      </c>
      <c r="E5" s="24">
        <v>25318</v>
      </c>
      <c r="F5" s="21"/>
      <c r="G5" s="21"/>
      <c r="H5" s="21"/>
      <c r="I5" s="21"/>
      <c r="J5" s="21"/>
      <c r="K5" s="4" t="s">
        <v>27</v>
      </c>
      <c r="L5" s="15">
        <v>2246</v>
      </c>
      <c r="M5" s="16">
        <f t="shared" si="0"/>
        <v>0.22459999999999999</v>
      </c>
      <c r="N5" s="17">
        <v>0.04</v>
      </c>
      <c r="O5" s="15">
        <v>18460</v>
      </c>
    </row>
    <row r="6" spans="1:19" x14ac:dyDescent="0.25">
      <c r="A6" s="4" t="s">
        <v>28</v>
      </c>
      <c r="B6" s="24">
        <v>2245</v>
      </c>
      <c r="C6" s="25">
        <v>0.86170000000000002</v>
      </c>
      <c r="D6" s="21">
        <v>2.15</v>
      </c>
      <c r="E6" s="24">
        <v>2246000</v>
      </c>
      <c r="F6" s="21"/>
      <c r="G6" s="21"/>
      <c r="H6" s="21"/>
      <c r="I6" s="21"/>
      <c r="J6" s="21"/>
      <c r="K6" s="4" t="s">
        <v>28</v>
      </c>
      <c r="L6" s="15">
        <v>2245</v>
      </c>
      <c r="M6" s="16">
        <f t="shared" si="0"/>
        <v>0.22450000000000001</v>
      </c>
      <c r="N6" s="17">
        <v>2.1</v>
      </c>
      <c r="O6" s="15">
        <v>2246000</v>
      </c>
    </row>
    <row r="7" spans="1:19" x14ac:dyDescent="0.25">
      <c r="A7" s="4" t="s">
        <v>29</v>
      </c>
      <c r="B7" s="24">
        <v>162</v>
      </c>
      <c r="C7" s="25">
        <v>0.86170000000000002</v>
      </c>
      <c r="D7" s="21">
        <v>605.15</v>
      </c>
      <c r="E7" s="24">
        <v>561500000</v>
      </c>
      <c r="F7" s="21"/>
      <c r="G7" s="21"/>
      <c r="H7" s="21"/>
      <c r="I7" s="21"/>
      <c r="J7" s="21"/>
      <c r="K7" s="4" t="s">
        <v>29</v>
      </c>
      <c r="L7" s="15">
        <v>162</v>
      </c>
      <c r="M7" s="16">
        <f t="shared" si="0"/>
        <v>1.6199999999999999E-2</v>
      </c>
      <c r="N7" s="17">
        <v>564.45000000000005</v>
      </c>
      <c r="O7" s="15">
        <v>561500000</v>
      </c>
    </row>
    <row r="8" spans="1:19" x14ac:dyDescent="0.25">
      <c r="A8" s="6" t="s">
        <v>30</v>
      </c>
      <c r="B8" s="12">
        <f>SUM(B3:B7)</f>
        <v>21884</v>
      </c>
      <c r="C8" s="12">
        <f>SUM(C3:C7)</f>
        <v>4.3085000000000004</v>
      </c>
      <c r="D8" s="18">
        <f>SUM(D3:D7)</f>
        <v>1397.1</v>
      </c>
      <c r="E8" s="20">
        <f>SUM(E3:E7)</f>
        <v>1466986410</v>
      </c>
      <c r="F8" s="21"/>
      <c r="G8" s="21"/>
      <c r="H8" s="21"/>
      <c r="I8" s="21"/>
      <c r="J8" s="21"/>
      <c r="K8" s="6" t="s">
        <v>30</v>
      </c>
      <c r="L8" s="11">
        <f>SUM(L3:L7)</f>
        <v>14573</v>
      </c>
      <c r="M8" s="11">
        <f>SUM(M3:M7)</f>
        <v>1.4572999999999998</v>
      </c>
      <c r="N8" s="18">
        <f>SUM(N3:N7)</f>
        <v>8191.77</v>
      </c>
      <c r="O8" s="20">
        <f>SUM(O3:O7)</f>
        <v>8897500576</v>
      </c>
    </row>
    <row r="9" spans="1:19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4"/>
    </row>
    <row r="10" spans="1:19" x14ac:dyDescent="0.25">
      <c r="A10" s="48" t="s">
        <v>49</v>
      </c>
      <c r="B10" s="51" t="s">
        <v>18</v>
      </c>
      <c r="C10" s="51"/>
      <c r="D10" s="51"/>
      <c r="E10" s="51"/>
      <c r="F10" s="21"/>
      <c r="G10" s="21"/>
      <c r="H10" s="21"/>
      <c r="I10" s="21"/>
      <c r="J10" s="21"/>
      <c r="K10" s="48" t="s">
        <v>49</v>
      </c>
      <c r="L10" s="51" t="s">
        <v>18</v>
      </c>
      <c r="M10" s="51"/>
      <c r="N10" s="51"/>
      <c r="O10" s="51"/>
    </row>
    <row r="11" spans="1:19" x14ac:dyDescent="0.25">
      <c r="A11" s="49"/>
      <c r="B11" s="9" t="s">
        <v>32</v>
      </c>
      <c r="C11" s="9" t="s">
        <v>34</v>
      </c>
      <c r="D11" s="9" t="s">
        <v>35</v>
      </c>
      <c r="E11" s="9" t="s">
        <v>33</v>
      </c>
      <c r="F11" s="21"/>
      <c r="G11" s="21"/>
      <c r="H11" s="21"/>
      <c r="I11" s="21"/>
      <c r="J11" s="21"/>
      <c r="K11" s="49"/>
      <c r="L11" s="9" t="s">
        <v>32</v>
      </c>
      <c r="M11" s="9" t="s">
        <v>34</v>
      </c>
      <c r="N11" s="9" t="s">
        <v>35</v>
      </c>
      <c r="O11" s="9" t="s">
        <v>33</v>
      </c>
    </row>
    <row r="12" spans="1:19" x14ac:dyDescent="0.25">
      <c r="A12" s="4" t="s">
        <v>24</v>
      </c>
      <c r="B12" s="21">
        <v>8617</v>
      </c>
      <c r="C12" s="16">
        <f>B12/10000</f>
        <v>0.86170000000000002</v>
      </c>
      <c r="D12" s="23">
        <v>770.3</v>
      </c>
      <c r="E12" s="24">
        <v>897390000</v>
      </c>
      <c r="F12" s="21"/>
      <c r="G12" s="21"/>
      <c r="H12" s="21"/>
      <c r="I12" s="21"/>
      <c r="J12" s="21"/>
      <c r="K12" s="4" t="s">
        <v>25</v>
      </c>
      <c r="L12" s="24">
        <v>5864</v>
      </c>
      <c r="M12" s="25">
        <f>L12/10000</f>
        <v>0.58640000000000003</v>
      </c>
      <c r="N12" s="23">
        <v>7583.47</v>
      </c>
      <c r="O12" s="24">
        <v>8333715780</v>
      </c>
      <c r="S12">
        <v>500</v>
      </c>
    </row>
    <row r="13" spans="1:19" x14ac:dyDescent="0.25">
      <c r="A13" s="4" t="s">
        <v>25</v>
      </c>
      <c r="B13" s="21">
        <v>5373</v>
      </c>
      <c r="C13" s="16">
        <f t="shared" ref="C13:C17" si="1">B13/10000</f>
        <v>0.5373</v>
      </c>
      <c r="D13" s="23">
        <v>0.44</v>
      </c>
      <c r="E13" s="24">
        <v>162416</v>
      </c>
      <c r="F13" s="21"/>
      <c r="G13" s="21"/>
      <c r="H13" s="21"/>
      <c r="I13" s="21"/>
      <c r="J13" s="21"/>
      <c r="K13" s="4" t="s">
        <v>24</v>
      </c>
      <c r="L13" s="24">
        <v>5373</v>
      </c>
      <c r="M13" s="25">
        <f t="shared" ref="M13:M17" si="2">L13/10000</f>
        <v>0.5373</v>
      </c>
      <c r="N13" s="23">
        <v>0.08</v>
      </c>
      <c r="O13" s="24">
        <v>20336</v>
      </c>
    </row>
    <row r="14" spans="1:19" x14ac:dyDescent="0.25">
      <c r="A14" s="4" t="s">
        <v>26</v>
      </c>
      <c r="B14" s="21">
        <v>4056</v>
      </c>
      <c r="C14" s="16">
        <f t="shared" si="1"/>
        <v>0.40560000000000002</v>
      </c>
      <c r="D14" s="23">
        <v>0.05</v>
      </c>
      <c r="E14" s="24">
        <v>10372</v>
      </c>
      <c r="F14" s="21"/>
      <c r="G14" s="21"/>
      <c r="H14" s="21"/>
      <c r="I14" s="21"/>
      <c r="J14" s="21"/>
      <c r="K14" s="4" t="s">
        <v>26</v>
      </c>
      <c r="L14" s="24">
        <v>5373</v>
      </c>
      <c r="M14" s="25">
        <f t="shared" si="2"/>
        <v>0.5373</v>
      </c>
      <c r="N14" s="23">
        <v>7.1</v>
      </c>
      <c r="O14" s="24">
        <v>3632148</v>
      </c>
    </row>
    <row r="15" spans="1:19" x14ac:dyDescent="0.25">
      <c r="A15" s="4" t="s">
        <v>27</v>
      </c>
      <c r="B15" s="21">
        <v>2246</v>
      </c>
      <c r="C15" s="16">
        <f t="shared" si="1"/>
        <v>0.22459999999999999</v>
      </c>
      <c r="D15" s="23">
        <v>0.04</v>
      </c>
      <c r="E15" s="24">
        <v>18460</v>
      </c>
      <c r="F15" s="21"/>
      <c r="G15" s="21"/>
      <c r="H15" s="21"/>
      <c r="I15" s="21"/>
      <c r="J15" s="21"/>
      <c r="K15" s="4" t="s">
        <v>27</v>
      </c>
      <c r="L15" s="24">
        <v>2246</v>
      </c>
      <c r="M15" s="25">
        <f t="shared" si="2"/>
        <v>0.22459999999999999</v>
      </c>
      <c r="N15" s="23">
        <v>0.05</v>
      </c>
      <c r="O15" s="24">
        <v>20763</v>
      </c>
    </row>
    <row r="16" spans="1:19" x14ac:dyDescent="0.25">
      <c r="A16" s="4" t="s">
        <v>28</v>
      </c>
      <c r="B16" s="21">
        <v>2245</v>
      </c>
      <c r="C16" s="16">
        <f t="shared" si="1"/>
        <v>0.22450000000000001</v>
      </c>
      <c r="D16" s="23">
        <v>2.0099999999999998</v>
      </c>
      <c r="E16" s="24">
        <v>2246000</v>
      </c>
      <c r="F16" s="21"/>
      <c r="G16" s="21"/>
      <c r="H16" s="21"/>
      <c r="I16" s="21"/>
      <c r="J16" s="21"/>
      <c r="K16" s="4" t="s">
        <v>28</v>
      </c>
      <c r="L16" s="24">
        <v>2245</v>
      </c>
      <c r="M16" s="25">
        <f t="shared" si="2"/>
        <v>0.22450000000000001</v>
      </c>
      <c r="N16" s="23">
        <v>2.06</v>
      </c>
      <c r="O16" s="24">
        <v>2246000</v>
      </c>
    </row>
    <row r="17" spans="1:15" x14ac:dyDescent="0.25">
      <c r="A17" s="4" t="s">
        <v>29</v>
      </c>
      <c r="B17" s="21">
        <v>162</v>
      </c>
      <c r="C17" s="16">
        <f t="shared" si="1"/>
        <v>1.6199999999999999E-2</v>
      </c>
      <c r="D17" s="23">
        <v>553.20000000000005</v>
      </c>
      <c r="E17" s="24">
        <v>561500000</v>
      </c>
      <c r="F17" s="21"/>
      <c r="G17" s="21"/>
      <c r="H17" s="21"/>
      <c r="I17" s="21"/>
      <c r="J17" s="21"/>
      <c r="K17" s="4" t="s">
        <v>29</v>
      </c>
      <c r="L17" s="24">
        <v>162</v>
      </c>
      <c r="M17" s="25">
        <f t="shared" si="2"/>
        <v>1.6199999999999999E-2</v>
      </c>
      <c r="N17" s="23">
        <v>553.33000000000004</v>
      </c>
      <c r="O17" s="24">
        <v>561500000</v>
      </c>
    </row>
    <row r="18" spans="1:15" x14ac:dyDescent="0.25">
      <c r="A18" s="6" t="s">
        <v>30</v>
      </c>
      <c r="B18" s="11">
        <f>SUM(B12:B17)</f>
        <v>22699</v>
      </c>
      <c r="C18" s="11">
        <f>SUM(C12:C17)</f>
        <v>2.2698999999999998</v>
      </c>
      <c r="D18" s="18">
        <f>SUM(D12:D17)</f>
        <v>1326.04</v>
      </c>
      <c r="E18" s="20">
        <f>SUM(E12:E17)</f>
        <v>1461327248</v>
      </c>
      <c r="F18" s="21"/>
      <c r="G18" s="21"/>
      <c r="H18" s="21"/>
      <c r="I18" s="21"/>
      <c r="J18" s="21"/>
      <c r="K18" s="6" t="s">
        <v>30</v>
      </c>
      <c r="L18" s="11">
        <f>SUM(L12:L17)</f>
        <v>21263</v>
      </c>
      <c r="M18" s="11">
        <f>SUM(M12:M17)</f>
        <v>2.1263000000000001</v>
      </c>
      <c r="N18" s="18">
        <f>SUM(N12:N17)</f>
        <v>8146.0900000000011</v>
      </c>
      <c r="O18" s="20">
        <f>SUM(O12:O17)</f>
        <v>8901135027</v>
      </c>
    </row>
    <row r="19" spans="1:15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x14ac:dyDescent="0.25">
      <c r="A20" s="48" t="s">
        <v>49</v>
      </c>
      <c r="B20" s="51" t="s">
        <v>18</v>
      </c>
      <c r="C20" s="51"/>
      <c r="D20" s="51"/>
      <c r="E20" s="51"/>
      <c r="F20" s="21"/>
      <c r="G20" s="21"/>
      <c r="H20" s="21"/>
      <c r="I20" s="21"/>
      <c r="J20" s="21"/>
      <c r="K20" s="48" t="s">
        <v>49</v>
      </c>
      <c r="L20" s="51" t="s">
        <v>18</v>
      </c>
      <c r="M20" s="51"/>
      <c r="N20" s="51"/>
      <c r="O20" s="51"/>
    </row>
    <row r="21" spans="1:15" x14ac:dyDescent="0.25">
      <c r="A21" s="49"/>
      <c r="B21" s="9" t="s">
        <v>32</v>
      </c>
      <c r="C21" s="9" t="s">
        <v>34</v>
      </c>
      <c r="D21" s="9" t="s">
        <v>35</v>
      </c>
      <c r="E21" s="9" t="s">
        <v>33</v>
      </c>
      <c r="F21" s="21"/>
      <c r="G21" s="21"/>
      <c r="H21" s="21"/>
      <c r="I21" s="21"/>
      <c r="J21" s="21"/>
      <c r="K21" s="49"/>
      <c r="L21" s="9" t="s">
        <v>32</v>
      </c>
      <c r="M21" s="9" t="s">
        <v>34</v>
      </c>
      <c r="N21" s="9" t="s">
        <v>35</v>
      </c>
      <c r="O21" s="9" t="s">
        <v>33</v>
      </c>
    </row>
    <row r="22" spans="1:15" x14ac:dyDescent="0.25">
      <c r="A22" s="4" t="s">
        <v>24</v>
      </c>
      <c r="B22" s="15">
        <v>8617</v>
      </c>
      <c r="C22" s="16">
        <f>B22/10000</f>
        <v>0.86170000000000002</v>
      </c>
      <c r="D22" s="17">
        <v>735.15</v>
      </c>
      <c r="E22" s="15">
        <v>897390000</v>
      </c>
      <c r="F22" s="21"/>
      <c r="G22" s="21"/>
      <c r="H22" s="21"/>
      <c r="I22" s="21"/>
      <c r="J22" s="21"/>
      <c r="K22" s="4" t="s">
        <v>25</v>
      </c>
      <c r="L22" s="15">
        <v>5864</v>
      </c>
      <c r="M22" s="16">
        <f>L22/10000</f>
        <v>0.58640000000000003</v>
      </c>
      <c r="N22" s="17">
        <v>8264.31</v>
      </c>
      <c r="O22" s="15">
        <v>8333715780</v>
      </c>
    </row>
    <row r="23" spans="1:15" x14ac:dyDescent="0.25">
      <c r="A23" s="4" t="s">
        <v>25</v>
      </c>
      <c r="B23" s="15">
        <v>5373</v>
      </c>
      <c r="C23" s="16">
        <f t="shared" ref="C23:C26" si="3">B23/10000</f>
        <v>0.5373</v>
      </c>
      <c r="D23" s="17">
        <v>0.48</v>
      </c>
      <c r="E23" s="15">
        <v>162416</v>
      </c>
      <c r="F23" s="21"/>
      <c r="G23" s="21"/>
      <c r="H23" s="21"/>
      <c r="I23" s="21"/>
      <c r="J23" s="21"/>
      <c r="K23" s="4" t="s">
        <v>24</v>
      </c>
      <c r="L23" s="15">
        <v>5373</v>
      </c>
      <c r="M23" s="16">
        <f t="shared" ref="M23:M26" si="4">L23/10000</f>
        <v>0.5373</v>
      </c>
      <c r="N23" s="17">
        <v>0.09</v>
      </c>
      <c r="O23" s="15">
        <v>20336</v>
      </c>
    </row>
    <row r="24" spans="1:15" x14ac:dyDescent="0.25">
      <c r="A24" s="4" t="s">
        <v>27</v>
      </c>
      <c r="B24" s="15">
        <v>2246</v>
      </c>
      <c r="C24" s="16">
        <f t="shared" si="3"/>
        <v>0.22459999999999999</v>
      </c>
      <c r="D24" s="17">
        <v>0.2</v>
      </c>
      <c r="E24" s="15">
        <v>91164</v>
      </c>
      <c r="F24" s="21"/>
      <c r="G24" s="21"/>
      <c r="H24" s="21"/>
      <c r="I24" s="21"/>
      <c r="J24" s="21"/>
      <c r="K24" s="4" t="s">
        <v>27</v>
      </c>
      <c r="L24" s="15">
        <v>2246</v>
      </c>
      <c r="M24" s="16">
        <f t="shared" si="4"/>
        <v>0.22459999999999999</v>
      </c>
      <c r="N24" s="17">
        <v>7.0000000000000007E-2</v>
      </c>
      <c r="O24" s="15">
        <v>10368</v>
      </c>
    </row>
    <row r="25" spans="1:15" x14ac:dyDescent="0.25">
      <c r="A25" s="4" t="s">
        <v>28</v>
      </c>
      <c r="B25" s="15">
        <v>2245</v>
      </c>
      <c r="C25" s="16">
        <f t="shared" si="3"/>
        <v>0.22450000000000001</v>
      </c>
      <c r="D25" s="17">
        <v>1.93</v>
      </c>
      <c r="E25" s="15">
        <v>2246000</v>
      </c>
      <c r="F25" s="21"/>
      <c r="G25" s="21"/>
      <c r="H25" s="21"/>
      <c r="I25" s="21"/>
      <c r="J25" s="21"/>
      <c r="K25" s="4" t="s">
        <v>28</v>
      </c>
      <c r="L25" s="15">
        <v>2245</v>
      </c>
      <c r="M25" s="16">
        <f t="shared" si="4"/>
        <v>0.22450000000000001</v>
      </c>
      <c r="N25" s="17">
        <v>2.33</v>
      </c>
      <c r="O25" s="15">
        <v>2246000</v>
      </c>
    </row>
    <row r="26" spans="1:15" x14ac:dyDescent="0.25">
      <c r="A26" s="4" t="s">
        <v>29</v>
      </c>
      <c r="B26" s="15">
        <v>162</v>
      </c>
      <c r="C26" s="16">
        <f t="shared" si="3"/>
        <v>1.6199999999999999E-2</v>
      </c>
      <c r="D26" s="17">
        <v>531.66999999999996</v>
      </c>
      <c r="E26" s="15">
        <v>561500000</v>
      </c>
      <c r="F26" s="21"/>
      <c r="G26" s="21"/>
      <c r="H26" s="21"/>
      <c r="I26" s="21"/>
      <c r="J26" s="21"/>
      <c r="K26" s="4" t="s">
        <v>29</v>
      </c>
      <c r="L26" s="15">
        <v>162</v>
      </c>
      <c r="M26" s="16">
        <f t="shared" si="4"/>
        <v>1.6199999999999999E-2</v>
      </c>
      <c r="N26" s="17">
        <v>607.80999999999995</v>
      </c>
      <c r="O26" s="15">
        <v>561500000</v>
      </c>
    </row>
    <row r="27" spans="1:15" x14ac:dyDescent="0.25">
      <c r="A27" s="6" t="s">
        <v>30</v>
      </c>
      <c r="B27" s="12">
        <f t="shared" ref="B27:E27" si="5">SUM(B22:B26)</f>
        <v>18643</v>
      </c>
      <c r="C27" s="12">
        <f t="shared" si="5"/>
        <v>1.8642999999999998</v>
      </c>
      <c r="D27" s="18">
        <f t="shared" si="5"/>
        <v>1269.4299999999998</v>
      </c>
      <c r="E27" s="20">
        <f t="shared" si="5"/>
        <v>1461389580</v>
      </c>
      <c r="F27" s="21"/>
      <c r="G27" s="21"/>
      <c r="H27" s="21"/>
      <c r="I27" s="21"/>
      <c r="J27" s="21"/>
      <c r="K27" s="6" t="s">
        <v>30</v>
      </c>
      <c r="L27" s="12">
        <f t="shared" ref="L27" si="6">SUM(L22:L26)</f>
        <v>15890</v>
      </c>
      <c r="M27" s="12">
        <f t="shared" ref="M27" si="7">SUM(M22:M26)</f>
        <v>1.5889999999999997</v>
      </c>
      <c r="N27" s="18">
        <f t="shared" ref="N27" si="8">SUM(N22:N26)</f>
        <v>8874.6099999999988</v>
      </c>
      <c r="O27" s="20">
        <f t="shared" ref="O27" si="9">SUM(O22:O26)</f>
        <v>8897492484</v>
      </c>
    </row>
    <row r="31" spans="1:15" s="22" customFormat="1" x14ac:dyDescent="0.25"/>
    <row r="34" spans="1:19" x14ac:dyDescent="0.25">
      <c r="A34" s="48" t="s">
        <v>49</v>
      </c>
      <c r="B34" s="51" t="s">
        <v>18</v>
      </c>
      <c r="C34" s="51"/>
      <c r="D34" s="51"/>
      <c r="E34" s="51"/>
      <c r="F34" s="14"/>
      <c r="G34" s="14"/>
      <c r="H34" s="14"/>
      <c r="I34" s="14"/>
      <c r="J34" s="14"/>
      <c r="K34" s="48" t="s">
        <v>49</v>
      </c>
      <c r="L34" s="51" t="s">
        <v>18</v>
      </c>
      <c r="M34" s="51"/>
      <c r="N34" s="51"/>
      <c r="O34" s="51"/>
    </row>
    <row r="35" spans="1:19" x14ac:dyDescent="0.25">
      <c r="A35" s="49"/>
      <c r="B35" s="9" t="s">
        <v>32</v>
      </c>
      <c r="C35" s="9" t="s">
        <v>34</v>
      </c>
      <c r="D35" s="9" t="s">
        <v>35</v>
      </c>
      <c r="E35" s="9" t="s">
        <v>33</v>
      </c>
      <c r="F35" s="4"/>
      <c r="G35" s="4"/>
      <c r="H35" s="4"/>
      <c r="I35" s="4"/>
      <c r="J35" s="4"/>
      <c r="K35" s="49"/>
      <c r="L35" s="9" t="s">
        <v>32</v>
      </c>
      <c r="M35" s="9" t="s">
        <v>34</v>
      </c>
      <c r="N35" s="9" t="s">
        <v>35</v>
      </c>
      <c r="O35" s="9" t="s">
        <v>33</v>
      </c>
    </row>
    <row r="36" spans="1:19" x14ac:dyDescent="0.25">
      <c r="A36" s="4" t="s">
        <v>24</v>
      </c>
      <c r="B36" s="24">
        <v>8621</v>
      </c>
      <c r="C36" s="10">
        <f>B36/10000</f>
        <v>0.86209999999999998</v>
      </c>
      <c r="D36" s="23">
        <v>1502.17</v>
      </c>
      <c r="E36" s="24">
        <v>1794780000</v>
      </c>
      <c r="F36" s="21"/>
      <c r="G36" s="21"/>
      <c r="H36" s="21"/>
      <c r="I36" s="21"/>
      <c r="J36" s="21"/>
      <c r="K36" s="4" t="s">
        <v>25</v>
      </c>
      <c r="L36" s="24">
        <v>8115</v>
      </c>
      <c r="M36" s="10">
        <f>L36/10000</f>
        <v>0.8115</v>
      </c>
      <c r="N36" s="23">
        <v>18023.16</v>
      </c>
      <c r="O36" s="24">
        <v>20297167020</v>
      </c>
    </row>
    <row r="37" spans="1:19" x14ac:dyDescent="0.25">
      <c r="A37" s="4" t="s">
        <v>26</v>
      </c>
      <c r="B37" s="24">
        <v>8618</v>
      </c>
      <c r="C37" s="10">
        <f t="shared" ref="C37:C40" si="10">B37/10000</f>
        <v>0.86180000000000001</v>
      </c>
      <c r="D37" s="23">
        <v>10.93</v>
      </c>
      <c r="E37" s="24">
        <v>5827796</v>
      </c>
      <c r="F37" s="21"/>
      <c r="G37" s="21"/>
      <c r="H37" s="21"/>
      <c r="I37" s="21"/>
      <c r="J37" s="21"/>
      <c r="K37" s="4" t="s">
        <v>26</v>
      </c>
      <c r="L37" s="24">
        <v>6344</v>
      </c>
      <c r="M37" s="10">
        <f t="shared" ref="M37:M40" si="11">L37/10000</f>
        <v>0.63439999999999996</v>
      </c>
      <c r="N37" s="23">
        <v>0.16</v>
      </c>
      <c r="O37" s="24">
        <v>62296</v>
      </c>
    </row>
    <row r="38" spans="1:19" x14ac:dyDescent="0.25">
      <c r="A38" s="4" t="s">
        <v>27</v>
      </c>
      <c r="B38" s="24">
        <v>4438</v>
      </c>
      <c r="C38" s="10">
        <f t="shared" si="10"/>
        <v>0.44379999999999997</v>
      </c>
      <c r="D38" s="23">
        <v>0.09</v>
      </c>
      <c r="E38" s="24">
        <v>48608</v>
      </c>
      <c r="F38" s="21"/>
      <c r="G38" s="21"/>
      <c r="H38" s="21"/>
      <c r="I38" s="21"/>
      <c r="J38" s="21"/>
      <c r="K38" s="4" t="s">
        <v>27</v>
      </c>
      <c r="L38" s="24">
        <v>4438</v>
      </c>
      <c r="M38" s="10">
        <f t="shared" si="11"/>
        <v>0.44379999999999997</v>
      </c>
      <c r="N38" s="23">
        <v>0.08</v>
      </c>
      <c r="O38" s="24">
        <v>43428</v>
      </c>
    </row>
    <row r="39" spans="1:19" x14ac:dyDescent="0.25">
      <c r="A39" s="4" t="s">
        <v>28</v>
      </c>
      <c r="B39" s="24">
        <v>4433</v>
      </c>
      <c r="C39" s="10">
        <f t="shared" si="10"/>
        <v>0.44330000000000003</v>
      </c>
      <c r="D39" s="23">
        <v>4.01</v>
      </c>
      <c r="E39" s="24">
        <v>4438000</v>
      </c>
      <c r="F39" s="21"/>
      <c r="G39" s="21"/>
      <c r="H39" s="21"/>
      <c r="I39" s="21"/>
      <c r="J39" s="21"/>
      <c r="K39" s="4" t="s">
        <v>28</v>
      </c>
      <c r="L39" s="24">
        <v>4433</v>
      </c>
      <c r="M39" s="10">
        <f t="shared" si="11"/>
        <v>0.44330000000000003</v>
      </c>
      <c r="N39" s="23">
        <v>3.98</v>
      </c>
      <c r="O39" s="24">
        <v>4438000</v>
      </c>
    </row>
    <row r="40" spans="1:19" x14ac:dyDescent="0.25">
      <c r="A40" s="4" t="s">
        <v>29</v>
      </c>
      <c r="B40" s="24">
        <v>516</v>
      </c>
      <c r="C40" s="10">
        <f t="shared" si="10"/>
        <v>5.16E-2</v>
      </c>
      <c r="D40" s="23">
        <v>2109.6</v>
      </c>
      <c r="E40" s="24">
        <v>2219000000</v>
      </c>
      <c r="F40" s="21"/>
      <c r="G40" s="21"/>
      <c r="H40" s="21"/>
      <c r="I40" s="21"/>
      <c r="J40" s="21"/>
      <c r="K40" s="4" t="s">
        <v>29</v>
      </c>
      <c r="L40" s="24">
        <v>516</v>
      </c>
      <c r="M40" s="10">
        <f t="shared" si="11"/>
        <v>5.16E-2</v>
      </c>
      <c r="N40" s="23">
        <v>2100.27</v>
      </c>
      <c r="O40" s="24">
        <v>2219000000</v>
      </c>
    </row>
    <row r="41" spans="1:19" x14ac:dyDescent="0.25">
      <c r="A41" s="6" t="s">
        <v>30</v>
      </c>
      <c r="B41" s="28">
        <f>SUM(B36:B40)</f>
        <v>26626</v>
      </c>
      <c r="C41" s="28">
        <f>SUM(C36:C40)</f>
        <v>2.6625999999999999</v>
      </c>
      <c r="D41" s="31">
        <f>SUM(D36:D40)</f>
        <v>3626.8</v>
      </c>
      <c r="E41" s="30">
        <f>SUM(E36:E40)</f>
        <v>4024094404</v>
      </c>
      <c r="F41" s="21"/>
      <c r="G41" s="21"/>
      <c r="H41" s="21"/>
      <c r="I41" s="21"/>
      <c r="J41" s="21"/>
      <c r="K41" s="6" t="s">
        <v>30</v>
      </c>
      <c r="L41" s="12">
        <f>SUM(L36:L40)</f>
        <v>23846</v>
      </c>
      <c r="M41" s="12">
        <f>SUM(M36:M40)</f>
        <v>2.3846000000000003</v>
      </c>
      <c r="N41" s="31">
        <f>SUM(N36:N40)</f>
        <v>20127.650000000001</v>
      </c>
      <c r="O41" s="30">
        <f>SUM(O36:O40)</f>
        <v>22520710744</v>
      </c>
    </row>
    <row r="42" spans="1:19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  <row r="43" spans="1:19" x14ac:dyDescent="0.25">
      <c r="A43" s="48" t="s">
        <v>49</v>
      </c>
      <c r="B43" s="51" t="s">
        <v>18</v>
      </c>
      <c r="C43" s="51"/>
      <c r="D43" s="51"/>
      <c r="E43" s="51"/>
      <c r="F43" s="21"/>
      <c r="G43" s="21"/>
      <c r="H43" s="21"/>
      <c r="I43" s="21"/>
      <c r="J43" s="21"/>
      <c r="K43" s="48" t="s">
        <v>49</v>
      </c>
      <c r="L43" s="51" t="s">
        <v>18</v>
      </c>
      <c r="M43" s="51"/>
      <c r="N43" s="51"/>
      <c r="O43" s="51"/>
    </row>
    <row r="44" spans="1:19" x14ac:dyDescent="0.25">
      <c r="A44" s="49"/>
      <c r="B44" s="9" t="s">
        <v>32</v>
      </c>
      <c r="C44" s="9" t="s">
        <v>34</v>
      </c>
      <c r="D44" s="9" t="s">
        <v>35</v>
      </c>
      <c r="E44" s="9" t="s">
        <v>33</v>
      </c>
      <c r="F44" s="21"/>
      <c r="G44" s="21"/>
      <c r="H44" s="21"/>
      <c r="I44" s="21"/>
      <c r="J44" s="21"/>
      <c r="K44" s="49"/>
      <c r="L44" s="9" t="s">
        <v>32</v>
      </c>
      <c r="M44" s="9" t="s">
        <v>34</v>
      </c>
      <c r="N44" s="9" t="s">
        <v>35</v>
      </c>
      <c r="O44" s="9" t="s">
        <v>33</v>
      </c>
    </row>
    <row r="45" spans="1:19" x14ac:dyDescent="0.25">
      <c r="A45" s="4" t="s">
        <v>24</v>
      </c>
      <c r="B45" s="15">
        <v>8621</v>
      </c>
      <c r="C45" s="10">
        <f>B45/10000</f>
        <v>0.86209999999999998</v>
      </c>
      <c r="D45" s="17">
        <v>1502.32</v>
      </c>
      <c r="E45" s="15">
        <v>1794780000</v>
      </c>
      <c r="F45" s="21"/>
      <c r="G45" s="21"/>
      <c r="H45" s="21"/>
      <c r="I45" s="21"/>
      <c r="J45" s="21"/>
      <c r="K45" s="4" t="s">
        <v>25</v>
      </c>
      <c r="L45" s="24">
        <v>8115</v>
      </c>
      <c r="M45" s="10">
        <f>L45/10000</f>
        <v>0.8115</v>
      </c>
      <c r="N45" s="23">
        <v>18176.02</v>
      </c>
      <c r="O45" s="24">
        <v>20297167020</v>
      </c>
      <c r="S45">
        <v>1000</v>
      </c>
    </row>
    <row r="46" spans="1:19" x14ac:dyDescent="0.25">
      <c r="A46" s="4" t="s">
        <v>25</v>
      </c>
      <c r="B46" s="15">
        <v>7325</v>
      </c>
      <c r="C46" s="10">
        <f t="shared" ref="C46:C50" si="12">B46/10000</f>
        <v>0.73250000000000004</v>
      </c>
      <c r="D46" s="5">
        <v>0.72</v>
      </c>
      <c r="E46" s="15">
        <v>253939</v>
      </c>
      <c r="F46" s="21"/>
      <c r="G46" s="21"/>
      <c r="H46" s="21"/>
      <c r="I46" s="21"/>
      <c r="J46" s="21"/>
      <c r="K46" s="4" t="s">
        <v>24</v>
      </c>
      <c r="L46" s="24">
        <v>7325</v>
      </c>
      <c r="M46" s="10">
        <f t="shared" ref="M46:M49" si="13">L46/10000</f>
        <v>0.73250000000000004</v>
      </c>
      <c r="N46" s="23">
        <v>0.16</v>
      </c>
      <c r="O46" s="24">
        <v>62296</v>
      </c>
    </row>
    <row r="47" spans="1:19" x14ac:dyDescent="0.25">
      <c r="A47" s="4" t="s">
        <v>26</v>
      </c>
      <c r="B47" s="15">
        <v>6344</v>
      </c>
      <c r="C47" s="10">
        <f t="shared" si="12"/>
        <v>0.63439999999999996</v>
      </c>
      <c r="D47" s="5">
        <v>0.09</v>
      </c>
      <c r="E47" s="15">
        <v>20432</v>
      </c>
      <c r="F47" s="21"/>
      <c r="G47" s="21"/>
      <c r="H47" s="21"/>
      <c r="I47" s="21"/>
      <c r="J47" s="21"/>
      <c r="K47" s="4" t="s">
        <v>26</v>
      </c>
      <c r="L47" s="24">
        <v>7325</v>
      </c>
      <c r="M47" s="10">
        <f t="shared" si="13"/>
        <v>0.73250000000000004</v>
      </c>
      <c r="N47" s="23">
        <v>9.5299999999999994</v>
      </c>
      <c r="O47" s="24">
        <v>4951700</v>
      </c>
    </row>
    <row r="48" spans="1:19" x14ac:dyDescent="0.25">
      <c r="A48" s="4" t="s">
        <v>27</v>
      </c>
      <c r="B48" s="15">
        <v>4438</v>
      </c>
      <c r="C48" s="10">
        <f t="shared" si="12"/>
        <v>0.44379999999999997</v>
      </c>
      <c r="D48" s="5">
        <v>0.08</v>
      </c>
      <c r="E48" s="15">
        <v>43428</v>
      </c>
      <c r="F48" s="21"/>
      <c r="G48" s="21"/>
      <c r="H48" s="21"/>
      <c r="I48" s="21"/>
      <c r="J48" s="21"/>
      <c r="K48" s="4" t="s">
        <v>27</v>
      </c>
      <c r="L48" s="24">
        <v>4438</v>
      </c>
      <c r="M48" s="10">
        <f t="shared" si="13"/>
        <v>0.44379999999999997</v>
      </c>
      <c r="N48" s="23">
        <v>0.09</v>
      </c>
      <c r="O48" s="24">
        <v>45744</v>
      </c>
    </row>
    <row r="49" spans="1:15" x14ac:dyDescent="0.25">
      <c r="A49" s="4" t="s">
        <v>28</v>
      </c>
      <c r="B49" s="15">
        <v>4433</v>
      </c>
      <c r="C49" s="10">
        <f t="shared" si="12"/>
        <v>0.44330000000000003</v>
      </c>
      <c r="D49" s="5">
        <v>4.0199999999999996</v>
      </c>
      <c r="E49" s="15">
        <v>4438000</v>
      </c>
      <c r="F49" s="21"/>
      <c r="G49" s="21"/>
      <c r="H49" s="21"/>
      <c r="I49" s="21"/>
      <c r="J49" s="21"/>
      <c r="K49" s="4" t="s">
        <v>28</v>
      </c>
      <c r="L49" s="24">
        <v>4433</v>
      </c>
      <c r="M49" s="10">
        <f t="shared" si="13"/>
        <v>0.44330000000000003</v>
      </c>
      <c r="N49" s="23">
        <v>4</v>
      </c>
      <c r="O49" s="24">
        <v>4438000</v>
      </c>
    </row>
    <row r="50" spans="1:15" x14ac:dyDescent="0.25">
      <c r="A50" s="4" t="s">
        <v>29</v>
      </c>
      <c r="B50" s="5">
        <v>516</v>
      </c>
      <c r="C50" s="10">
        <f t="shared" si="12"/>
        <v>5.16E-2</v>
      </c>
      <c r="D50" s="17">
        <v>2140.5500000000002</v>
      </c>
      <c r="E50" s="15">
        <v>2219000000</v>
      </c>
      <c r="F50" s="21"/>
      <c r="G50" s="21"/>
      <c r="H50" s="21"/>
      <c r="I50" s="21"/>
      <c r="J50" s="21"/>
      <c r="K50" s="4" t="s">
        <v>29</v>
      </c>
      <c r="L50" s="24">
        <v>516</v>
      </c>
      <c r="M50" s="10">
        <f>L50/10000</f>
        <v>5.16E-2</v>
      </c>
      <c r="N50" s="23">
        <v>2135.42</v>
      </c>
      <c r="O50" s="24">
        <v>2219000000</v>
      </c>
    </row>
    <row r="51" spans="1:15" x14ac:dyDescent="0.25">
      <c r="A51" s="6" t="s">
        <v>30</v>
      </c>
      <c r="B51" s="11">
        <f>SUM(B45:B50)</f>
        <v>31677</v>
      </c>
      <c r="C51" s="11">
        <f>SUM(C45:C50)</f>
        <v>3.1677000000000004</v>
      </c>
      <c r="D51" s="18">
        <f>SUM(D45:D50)</f>
        <v>3647.7799999999997</v>
      </c>
      <c r="E51" s="20">
        <f>SUM(E45:E50)</f>
        <v>4018535799</v>
      </c>
      <c r="F51" s="21"/>
      <c r="G51" s="21"/>
      <c r="H51" s="21"/>
      <c r="I51" s="21"/>
      <c r="J51" s="21"/>
      <c r="K51" s="6" t="s">
        <v>30</v>
      </c>
      <c r="L51" s="11">
        <f>SUM(L45:L50)</f>
        <v>32152</v>
      </c>
      <c r="M51" s="11">
        <f>SUM(M45:M50)</f>
        <v>3.2151999999999998</v>
      </c>
      <c r="N51" s="31">
        <f>SUM(N45:N50)</f>
        <v>20325.22</v>
      </c>
      <c r="O51" s="30">
        <f>SUM(O45:O50)</f>
        <v>22525664760</v>
      </c>
    </row>
    <row r="52" spans="1:15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 x14ac:dyDescent="0.25">
      <c r="A53" s="48" t="s">
        <v>49</v>
      </c>
      <c r="B53" s="51" t="s">
        <v>18</v>
      </c>
      <c r="C53" s="51"/>
      <c r="D53" s="51"/>
      <c r="E53" s="51"/>
      <c r="F53" s="21"/>
      <c r="G53" s="21"/>
      <c r="H53" s="21"/>
      <c r="I53" s="21"/>
      <c r="J53" s="21"/>
      <c r="K53" s="48" t="s">
        <v>49</v>
      </c>
      <c r="L53" s="51" t="s">
        <v>18</v>
      </c>
      <c r="M53" s="51"/>
      <c r="N53" s="51"/>
      <c r="O53" s="51"/>
    </row>
    <row r="54" spans="1:15" x14ac:dyDescent="0.25">
      <c r="A54" s="49"/>
      <c r="B54" s="9" t="s">
        <v>32</v>
      </c>
      <c r="C54" s="9" t="s">
        <v>34</v>
      </c>
      <c r="D54" s="9" t="s">
        <v>35</v>
      </c>
      <c r="E54" s="9" t="s">
        <v>33</v>
      </c>
      <c r="F54" s="21"/>
      <c r="G54" s="21"/>
      <c r="H54" s="21"/>
      <c r="I54" s="21"/>
      <c r="J54" s="21"/>
      <c r="K54" s="49"/>
      <c r="L54" s="9" t="s">
        <v>32</v>
      </c>
      <c r="M54" s="9" t="s">
        <v>34</v>
      </c>
      <c r="N54" s="9" t="s">
        <v>35</v>
      </c>
      <c r="O54" s="9" t="s">
        <v>33</v>
      </c>
    </row>
    <row r="55" spans="1:15" x14ac:dyDescent="0.25">
      <c r="A55" s="4" t="s">
        <v>24</v>
      </c>
      <c r="B55" s="15">
        <v>8621</v>
      </c>
      <c r="C55" s="16">
        <f>B55/10000</f>
        <v>0.86209999999999998</v>
      </c>
      <c r="D55" s="17">
        <v>1532.93</v>
      </c>
      <c r="E55" s="15">
        <v>1794780000</v>
      </c>
      <c r="F55" s="21"/>
      <c r="G55" s="21"/>
      <c r="H55" s="21"/>
      <c r="I55" s="21"/>
      <c r="J55" s="21"/>
      <c r="K55" s="4" t="s">
        <v>25</v>
      </c>
      <c r="L55" s="24">
        <v>8115</v>
      </c>
      <c r="M55" s="10">
        <f>L55/10000</f>
        <v>0.8115</v>
      </c>
      <c r="N55" s="23">
        <v>17995.61</v>
      </c>
      <c r="O55" s="24">
        <v>20297167020</v>
      </c>
    </row>
    <row r="56" spans="1:15" x14ac:dyDescent="0.25">
      <c r="A56" s="4" t="s">
        <v>25</v>
      </c>
      <c r="B56" s="15">
        <v>7325</v>
      </c>
      <c r="C56" s="16">
        <f t="shared" ref="C56:C59" si="14">B56/10000</f>
        <v>0.73250000000000004</v>
      </c>
      <c r="D56" s="17">
        <v>0.75</v>
      </c>
      <c r="E56" s="15">
        <v>253939</v>
      </c>
      <c r="F56" s="21"/>
      <c r="G56" s="21"/>
      <c r="H56" s="21"/>
      <c r="I56" s="21"/>
      <c r="J56" s="21"/>
      <c r="K56" s="4" t="s">
        <v>24</v>
      </c>
      <c r="L56" s="24">
        <v>7325</v>
      </c>
      <c r="M56" s="10">
        <f t="shared" ref="M56:M59" si="15">L56/10000</f>
        <v>0.73250000000000004</v>
      </c>
      <c r="N56" s="23">
        <v>0.16</v>
      </c>
      <c r="O56" s="24">
        <v>62296</v>
      </c>
    </row>
    <row r="57" spans="1:15" x14ac:dyDescent="0.25">
      <c r="A57" s="4" t="s">
        <v>27</v>
      </c>
      <c r="B57" s="15">
        <v>4438</v>
      </c>
      <c r="C57" s="16">
        <f t="shared" si="14"/>
        <v>0.44379999999999997</v>
      </c>
      <c r="D57" s="17">
        <v>0.2</v>
      </c>
      <c r="E57" s="15">
        <v>83760</v>
      </c>
      <c r="F57" s="21"/>
      <c r="G57" s="21"/>
      <c r="H57" s="21"/>
      <c r="I57" s="21"/>
      <c r="J57" s="21"/>
      <c r="K57" s="4" t="s">
        <v>27</v>
      </c>
      <c r="L57" s="24">
        <v>4438</v>
      </c>
      <c r="M57" s="10">
        <f t="shared" si="15"/>
        <v>0.44379999999999997</v>
      </c>
      <c r="N57" s="23">
        <v>0.11</v>
      </c>
      <c r="O57" s="24">
        <v>20424</v>
      </c>
    </row>
    <row r="58" spans="1:15" x14ac:dyDescent="0.25">
      <c r="A58" s="4" t="s">
        <v>28</v>
      </c>
      <c r="B58" s="15">
        <v>4433</v>
      </c>
      <c r="C58" s="16">
        <f t="shared" si="14"/>
        <v>0.44330000000000003</v>
      </c>
      <c r="D58" s="17">
        <v>4.04</v>
      </c>
      <c r="E58" s="15">
        <v>4438000</v>
      </c>
      <c r="F58" s="21"/>
      <c r="G58" s="21"/>
      <c r="H58" s="21"/>
      <c r="I58" s="21"/>
      <c r="J58" s="21"/>
      <c r="K58" s="4" t="s">
        <v>28</v>
      </c>
      <c r="L58" s="24">
        <v>4433</v>
      </c>
      <c r="M58" s="10">
        <f t="shared" si="15"/>
        <v>0.44330000000000003</v>
      </c>
      <c r="N58" s="23">
        <v>3.94</v>
      </c>
      <c r="O58" s="24">
        <v>4438000</v>
      </c>
    </row>
    <row r="59" spans="1:15" x14ac:dyDescent="0.25">
      <c r="A59" s="4" t="s">
        <v>29</v>
      </c>
      <c r="B59" s="15">
        <v>516</v>
      </c>
      <c r="C59" s="16">
        <f t="shared" si="14"/>
        <v>5.16E-2</v>
      </c>
      <c r="D59" s="17">
        <v>2177.7600000000002</v>
      </c>
      <c r="E59" s="15">
        <v>2219000000</v>
      </c>
      <c r="F59" s="21"/>
      <c r="G59" s="21"/>
      <c r="H59" s="21"/>
      <c r="I59" s="21"/>
      <c r="J59" s="21"/>
      <c r="K59" s="4" t="s">
        <v>29</v>
      </c>
      <c r="L59" s="24">
        <v>516</v>
      </c>
      <c r="M59" s="10">
        <f t="shared" si="15"/>
        <v>5.16E-2</v>
      </c>
      <c r="N59" s="23">
        <v>2109.64</v>
      </c>
      <c r="O59" s="24">
        <v>2219000000</v>
      </c>
    </row>
    <row r="60" spans="1:15" x14ac:dyDescent="0.25">
      <c r="A60" s="6" t="s">
        <v>30</v>
      </c>
      <c r="B60" s="12">
        <f t="shared" ref="B60" si="16">SUM(B55:B59)</f>
        <v>25333</v>
      </c>
      <c r="C60" s="12">
        <f t="shared" ref="C60" si="17">SUM(C55:C59)</f>
        <v>2.5333000000000001</v>
      </c>
      <c r="D60" s="18">
        <f t="shared" ref="D60" si="18">SUM(D55:D59)</f>
        <v>3715.6800000000003</v>
      </c>
      <c r="E60" s="20">
        <f t="shared" ref="E60" si="19">SUM(E55:E59)</f>
        <v>4018555699</v>
      </c>
      <c r="F60" s="21"/>
      <c r="G60" s="21"/>
      <c r="H60" s="21"/>
      <c r="I60" s="21"/>
      <c r="J60" s="21"/>
      <c r="K60" s="6" t="s">
        <v>30</v>
      </c>
      <c r="L60" s="12">
        <f t="shared" ref="L60" si="20">SUM(L55:L59)</f>
        <v>24827</v>
      </c>
      <c r="M60" s="12">
        <f t="shared" ref="M60" si="21">SUM(M55:M59)</f>
        <v>2.4826999999999999</v>
      </c>
      <c r="N60" s="31">
        <f t="shared" ref="N60" si="22">SUM(N55:N59)</f>
        <v>20109.46</v>
      </c>
      <c r="O60" s="30">
        <f t="shared" ref="O60" si="23">SUM(O55:O59)</f>
        <v>22520687740</v>
      </c>
    </row>
    <row r="78" spans="8:15" x14ac:dyDescent="0.25">
      <c r="H78" s="35"/>
      <c r="I78" s="35"/>
      <c r="J78" s="35"/>
      <c r="K78" s="35"/>
      <c r="L78" s="35"/>
      <c r="M78" s="34"/>
      <c r="N78" s="34"/>
      <c r="O78" s="34"/>
    </row>
    <row r="79" spans="8:15" x14ac:dyDescent="0.25">
      <c r="H79" s="36"/>
      <c r="I79" s="36"/>
      <c r="J79" s="36"/>
      <c r="K79" s="37"/>
      <c r="L79" s="36"/>
      <c r="M79" s="36"/>
      <c r="N79" s="34"/>
      <c r="O79" s="34"/>
    </row>
    <row r="80" spans="8:15" x14ac:dyDescent="0.25">
      <c r="H80" s="36"/>
      <c r="I80" s="36"/>
      <c r="J80" s="36"/>
      <c r="L80" s="36"/>
      <c r="M80" s="36"/>
      <c r="N80" s="34"/>
      <c r="O80" s="34"/>
    </row>
    <row r="81" spans="8:15" x14ac:dyDescent="0.25">
      <c r="H81" s="21"/>
      <c r="I81" s="36"/>
      <c r="J81" s="36"/>
      <c r="K81" s="36"/>
      <c r="L81" s="36"/>
      <c r="M81" s="36"/>
      <c r="N81" s="34"/>
      <c r="O81" s="34"/>
    </row>
    <row r="82" spans="8:15" x14ac:dyDescent="0.25">
      <c r="H82" s="36"/>
      <c r="I82" s="36"/>
      <c r="J82" s="36"/>
      <c r="K82" s="36"/>
      <c r="L82" s="36"/>
      <c r="M82" s="36"/>
      <c r="N82" s="34"/>
      <c r="O82" s="34"/>
    </row>
    <row r="83" spans="8:15" x14ac:dyDescent="0.25">
      <c r="H83" s="36"/>
      <c r="I83" s="36"/>
      <c r="J83" s="36"/>
      <c r="K83" s="36"/>
      <c r="L83" s="36"/>
      <c r="M83" s="36"/>
      <c r="N83" s="34"/>
      <c r="O83" s="34"/>
    </row>
    <row r="84" spans="8:15" x14ac:dyDescent="0.25">
      <c r="H84" s="36"/>
      <c r="I84" s="36"/>
      <c r="J84" s="36"/>
      <c r="K84" s="36"/>
      <c r="L84" s="36"/>
      <c r="M84" s="36"/>
      <c r="N84" s="34"/>
      <c r="O84" s="34"/>
    </row>
    <row r="85" spans="8:15" x14ac:dyDescent="0.25">
      <c r="H85" s="36"/>
      <c r="I85" s="36"/>
      <c r="J85" s="36"/>
      <c r="K85" s="36"/>
      <c r="L85" s="36"/>
      <c r="M85" s="36"/>
      <c r="N85" s="34"/>
      <c r="O85" s="34"/>
    </row>
    <row r="86" spans="8:15" x14ac:dyDescent="0.25">
      <c r="H86" s="36"/>
      <c r="I86" s="36"/>
      <c r="J86" s="36"/>
      <c r="K86" s="36"/>
      <c r="L86" s="36"/>
      <c r="M86" s="36"/>
      <c r="N86" s="34"/>
      <c r="O86" s="34"/>
    </row>
    <row r="87" spans="8:15" x14ac:dyDescent="0.25">
      <c r="H87" s="36"/>
      <c r="I87" s="36"/>
      <c r="J87" s="36"/>
      <c r="K87" s="36"/>
      <c r="L87" s="36"/>
      <c r="M87" s="36"/>
      <c r="N87" s="34"/>
      <c r="O87" s="34"/>
    </row>
    <row r="88" spans="8:15" x14ac:dyDescent="0.25">
      <c r="H88" s="36"/>
      <c r="I88" s="36"/>
      <c r="J88" s="36"/>
      <c r="K88" s="36"/>
      <c r="L88" s="36"/>
      <c r="M88" s="36"/>
      <c r="N88" s="34"/>
      <c r="O88" s="34"/>
    </row>
    <row r="89" spans="8:15" x14ac:dyDescent="0.25">
      <c r="H89" s="36"/>
      <c r="I89" s="36"/>
      <c r="J89" s="36"/>
      <c r="K89" s="36"/>
      <c r="L89" s="36"/>
      <c r="M89" s="36"/>
      <c r="N89" s="34"/>
      <c r="O89" s="34"/>
    </row>
    <row r="90" spans="8:15" x14ac:dyDescent="0.25">
      <c r="H90" s="34"/>
      <c r="I90" s="34"/>
      <c r="J90" s="34"/>
      <c r="K90" s="34"/>
      <c r="L90" s="34"/>
      <c r="M90" s="34"/>
      <c r="N90" s="34"/>
      <c r="O90" s="34"/>
    </row>
  </sheetData>
  <mergeCells count="24">
    <mergeCell ref="A53:A54"/>
    <mergeCell ref="B53:E53"/>
    <mergeCell ref="K53:K54"/>
    <mergeCell ref="L53:O53"/>
    <mergeCell ref="A34:A35"/>
    <mergeCell ref="B34:E34"/>
    <mergeCell ref="K34:K35"/>
    <mergeCell ref="L34:O34"/>
    <mergeCell ref="A43:A44"/>
    <mergeCell ref="B43:E43"/>
    <mergeCell ref="K43:K44"/>
    <mergeCell ref="L43:O43"/>
    <mergeCell ref="K1:K2"/>
    <mergeCell ref="L1:O1"/>
    <mergeCell ref="K10:K11"/>
    <mergeCell ref="L10:O10"/>
    <mergeCell ref="K20:K21"/>
    <mergeCell ref="L20:O20"/>
    <mergeCell ref="A20:A21"/>
    <mergeCell ref="B20:E20"/>
    <mergeCell ref="A10:A11"/>
    <mergeCell ref="B10:E10"/>
    <mergeCell ref="A1:A2"/>
    <mergeCell ref="B1: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Overview</vt:lpstr>
      <vt:lpstr>T1</vt:lpstr>
      <vt:lpstr>T1_T2</vt:lpstr>
      <vt:lpstr>T1_T7</vt:lpstr>
      <vt:lpstr>T2</vt:lpstr>
      <vt:lpstr>T2_T1</vt:lpstr>
      <vt:lpstr>T2_T7</vt:lpstr>
      <vt:lpstr>Baseline</vt:lpstr>
      <vt:lpstr>BF</vt:lpstr>
      <vt:lpstr>Dict</vt:lpstr>
      <vt:lpstr>HE_LE_FirstTry</vt:lpstr>
      <vt:lpstr>T1_Verg_old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Babett Müller</dc:creator>
  <cp:lastModifiedBy>Babett Müller</cp:lastModifiedBy>
  <dcterms:created xsi:type="dcterms:W3CDTF">2025-11-19T19:00:00Z</dcterms:created>
  <dcterms:modified xsi:type="dcterms:W3CDTF">2025-12-06T12:11:36Z</dcterms:modified>
</cp:coreProperties>
</file>